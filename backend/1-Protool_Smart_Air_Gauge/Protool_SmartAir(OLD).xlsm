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26BB60FD-E41B-4D95-8603-2CCC2E6A21A6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Barcode" sheetId="2" r:id="rId1"/>
    <sheet name="Mitutoyo" sheetId="7" r:id="rId2"/>
    <sheet name="Airgauge" sheetId="3" r:id="rId3"/>
    <sheet name="HistoryData" sheetId="4" r:id="rId4"/>
    <sheet name="tmp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6" i="3" l="1"/>
  <c r="H11" i="3"/>
  <c r="B51" i="3"/>
  <c r="I11" i="3"/>
  <c r="B63" i="3"/>
  <c r="B54" i="3"/>
  <c r="B57" i="3"/>
  <c r="B60" i="3"/>
  <c r="H7" i="3"/>
  <c r="H8" i="3"/>
  <c r="H9" i="3"/>
  <c r="H10" i="3"/>
  <c r="I6" i="3"/>
  <c r="H6" i="3"/>
  <c r="I7" i="3"/>
  <c r="I8" i="3"/>
  <c r="I9" i="3"/>
  <c r="I10" i="3"/>
</calcChain>
</file>

<file path=xl/sharedStrings.xml><?xml version="1.0" encoding="utf-8"?>
<sst xmlns="http://schemas.openxmlformats.org/spreadsheetml/2006/main" count="97" uniqueCount="37">
  <si>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</si>
  <si>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</si>
  <si>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</si>
  <si>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</si>
  <si>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</si>
  <si>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</si>
  <si>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</si>
  <si>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</si>
  <si>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</si>
  <si>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</si>
  <si>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</si>
  <si>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</si>
  <si>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</si>
  <si>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</si>
  <si>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</si>
  <si>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</si>
  <si>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</si>
  <si>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</si>
  <si>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</si>
  <si>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</si>
  <si>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</si>
  <si>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4.5 (1)</t>
  </si>
  <si>
    <t>4.5 (2)</t>
  </si>
  <si>
    <t>4.5 (3)</t>
  </si>
  <si>
    <t>4.5 (4)</t>
  </si>
  <si>
    <t>5.5 (5)</t>
  </si>
  <si>
    <t>5.5 (6)</t>
  </si>
  <si>
    <t>5.5 (7)</t>
  </si>
  <si>
    <t>5.5 (8)</t>
  </si>
  <si>
    <t>50 (A)</t>
  </si>
  <si>
    <t>49.6 (A)</t>
  </si>
  <si>
    <t>50 (B)</t>
  </si>
  <si>
    <t>60 (B)</t>
  </si>
  <si>
    <t>141 (B)</t>
  </si>
  <si>
    <t>43.8 (B)</t>
  </si>
  <si>
    <t>OK</t>
  </si>
  <si>
    <t>E251207A236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</si>
</sst>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7" formatCode="0.000"/>
  </numFmts>
  <fonts count="2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14"/>
      <color theme="1"/>
      <name val="Tahoma"/>
      <family val="2"/>
      <scheme val="minor"/>
    </font>
    <font>
      <sz val="14"/>
      <color rgb="FF000000"/>
      <name val="Tahoma"/>
      <family val="2"/>
      <scheme val="min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b/>
      <sz val="11"/>
      <color rgb="FFFF0000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11"/>
      <color rgb="FF000000"/>
      <name val="Tahoma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2DCFD"/>
      </patternFill>
    </fill>
    <fill>
      <patternFill patternType="solid">
        <fgColor theme="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5" borderId="0" applyNumberFormat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187" fontId="0" fillId="0" borderId="0" xfId="1" applyNumberFormat="1" applyFont="1" applyAlignment="1">
      <alignment horizontal="center"/>
    </xf>
    <xf numFmtId="187" fontId="0" fillId="0" borderId="0" xfId="0" applyNumberFormat="1"/>
    <xf numFmtId="0" fontId="6" fillId="0" borderId="0" xfId="0" applyFont="1"/>
    <xf numFmtId="0" fontId="8" fillId="0" borderId="0" xfId="0" applyFont="1"/>
    <xf numFmtId="0" fontId="3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9" fillId="5" borderId="0" xfId="2" applyAlignment="1">
      <alignment horizontal="center" vertical="center"/>
    </xf>
    <xf numFmtId="187" fontId="9" fillId="5" borderId="0" xfId="2" applyNumberFormat="1" applyAlignment="1">
      <alignment horizontal="center" vertical="center"/>
    </xf>
    <xf numFmtId="0" fontId="0" fillId="3" borderId="0" xfId="0" applyFill="1"/>
    <xf numFmtId="0" fontId="7" fillId="2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6" borderId="0" xfId="0" applyFont="1" applyFill="1" applyAlignment="1">
      <alignment horizontal="left"/>
    </xf>
    <xf numFmtId="0" fontId="5" fillId="6" borderId="0" xfId="0" applyFont="1" applyFill="1" applyAlignment="1">
      <alignment horizontal="left"/>
    </xf>
    <xf numFmtId="0" fontId="6" fillId="6" borderId="0" xfId="0" applyFont="1" applyFill="1"/>
    <xf numFmtId="0" fontId="0" fillId="6" borderId="0" xfId="0" applyFill="1"/>
    <xf numFmtId="0" fontId="7" fillId="7" borderId="0" xfId="0" applyFont="1" applyFill="1" applyAlignment="1">
      <alignment horizontal="left"/>
    </xf>
    <xf numFmtId="0" fontId="8" fillId="7" borderId="0" xfId="0" applyFont="1" applyFill="1"/>
    <xf numFmtId="0" fontId="0" fillId="7" borderId="0" xfId="0" applyFill="1"/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3" fillId="8" borderId="0" xfId="0" applyFont="1" applyFill="1" applyAlignment="1">
      <alignment horizontal="left"/>
    </xf>
    <xf numFmtId="0" fontId="4" fillId="8" borderId="0" xfId="0" applyFont="1" applyFill="1" applyAlignment="1">
      <alignment horizontal="left"/>
    </xf>
    <xf numFmtId="0" fontId="5" fillId="8" borderId="0" xfId="0" applyFont="1" applyFill="1" applyAlignment="1">
      <alignment horizontal="left"/>
    </xf>
    <xf numFmtId="0" fontId="6" fillId="8" borderId="0" xfId="0" applyFont="1" applyFill="1"/>
    <xf numFmtId="0" fontId="0" fillId="8" borderId="0" xfId="0" applyFill="1"/>
    <xf numFmtId="0" fontId="7" fillId="7" borderId="4" xfId="0" applyFont="1" applyFill="1" applyBorder="1" applyAlignment="1">
      <alignment horizontal="left"/>
    </xf>
    <xf numFmtId="0" fontId="7" fillId="7" borderId="2" xfId="0" applyFont="1" applyFill="1" applyBorder="1" applyAlignment="1">
      <alignment horizontal="left"/>
    </xf>
    <xf numFmtId="0" fontId="7" fillId="7" borderId="5" xfId="0" applyFont="1" applyFill="1" applyBorder="1" applyAlignment="1">
      <alignment horizontal="left"/>
    </xf>
    <xf numFmtId="0" fontId="7" fillId="7" borderId="3" xfId="0" applyFont="1" applyFill="1" applyBorder="1" applyAlignment="1">
      <alignment horizontal="left"/>
    </xf>
    <xf numFmtId="0" fontId="13" fillId="3" borderId="0" xfId="0" applyFont="1" applyFill="1"/>
    <xf numFmtId="0" fontId="0" fillId="9" borderId="6" xfId="0" applyFill="1" applyBorder="1" applyProtection="1">
      <protection locked="0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1" fillId="0" borderId="1" xfId="0" applyFont="1" applyBorder="1" applyAlignment="1" applyProtection="1">
      <alignment vertical="center"/>
      <protection locked="0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22" fontId="17" fillId="0" borderId="0" xfId="0" applyNumberFormat="1" applyFont="1" applyAlignment="1">
      <alignment horizontal="right" vertical="center"/>
    </xf>
    <xf numFmtId="22" fontId="17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0" fontId="17" fillId="0" borderId="0" xfId="0" applyFont="1" applyAlignment="1">
      <alignment horizontal="right" vertical="center"/>
    </xf>
    <xf numFmtId="2" fontId="17" fillId="0" borderId="0" xfId="0" applyNumberFormat="1" applyFont="1" applyAlignment="1">
      <alignment horizontal="right" vertical="center"/>
    </xf>
    <xf numFmtId="2" fontId="17" fillId="0" borderId="0" xfId="0" applyNumberFormat="1" applyFont="1" applyAlignment="1">
      <alignment horizontal="right"/>
    </xf>
    <xf numFmtId="187" fontId="17" fillId="0" borderId="0" xfId="0" applyNumberFormat="1" applyFont="1" applyAlignment="1">
      <alignment horizontal="right" vertical="center"/>
    </xf>
    <xf numFmtId="187" fontId="17" fillId="0" borderId="0" xfId="0" applyNumberFormat="1" applyFont="1" applyAlignment="1">
      <alignment horizontal="right"/>
    </xf>
    <xf numFmtId="0" fontId="19" fillId="0" borderId="0" xfId="0" applyFont="1" applyAlignment="1">
      <alignment vertical="center"/>
    </xf>
    <xf numFmtId="187" fontId="21" fillId="0" borderId="0" xfId="1" applyNumberFormat="1" applyFont="1" applyAlignment="1">
      <alignment vertical="center"/>
    </xf>
    <xf numFmtId="0" fontId="20" fillId="0" borderId="0" xfId="0" applyFont="1" applyAlignment="1">
      <alignment vertical="center"/>
    </xf>
    <xf numFmtId="187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7" fontId="1" fillId="0" borderId="0" xfId="1" applyNumberFormat="1" applyFont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87" fontId="22" fillId="0" borderId="0" xfId="1" applyNumberFormat="1" applyFont="1" applyAlignment="1">
      <alignment horizontal="center" vertical="center"/>
    </xf>
    <xf numFmtId="187" fontId="22" fillId="0" borderId="0" xfId="1" applyNumberFormat="1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/>
    </xf>
    <xf numFmtId="187" fontId="14" fillId="0" borderId="1" xfId="0" applyNumberFormat="1" applyFont="1" applyFill="1" applyBorder="1" applyAlignment="1">
      <alignment horizontal="center"/>
    </xf>
  </cellXfs>
  <cellStyles count="3">
    <cellStyle name="Accent4" xfId="2" builtinId="41"/>
    <cellStyle name="Comma" xfId="1" builtinId="3"/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8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1842978</xdr:colOff>
      <xdr:row>7</xdr:row>
      <xdr:rowOff>35378</xdr:rowOff>
    </xdr:from>
    <xdr:to>
      <xdr:col>0</xdr:col>
      <xdr:colOff>5442978</xdr:colOff>
      <xdr:row>15</xdr:row>
      <xdr:rowOff>60235</xdr:rowOff>
    </xdr:to>
    <xdr:sp macro="[0]!ResetBarco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42978" y="4690722"/>
          <a:ext cx="3600000" cy="145360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0</xdr:col>
      <xdr:colOff>5541323</xdr:colOff>
      <xdr:row>1</xdr:row>
      <xdr:rowOff>335876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2</xdr:col>
      <xdr:colOff>421823</xdr:colOff>
      <xdr:row>0</xdr:row>
      <xdr:rowOff>380375</xdr:rowOff>
    </xdr:from>
    <xdr:to>
      <xdr:col>5</xdr:col>
      <xdr:colOff>843871</xdr:colOff>
      <xdr:row>2</xdr:row>
      <xdr:rowOff>45324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749394" y="380375"/>
          <a:ext cx="4708298" cy="984842"/>
        </a:xfrm>
        <a:prstGeom prst="rect">
          <a:avLst/>
        </a:prstGeom>
      </xdr:spPr>
    </xdr:pic>
    <xdr:clientData/>
  </xdr:twoCellAnchor>
  <xdr:twoCellAnchor>
    <xdr:from>
      <xdr:col>0</xdr:col>
      <xdr:colOff>6415126</xdr:colOff>
      <xdr:row>7</xdr:row>
      <xdr:rowOff>35378</xdr:rowOff>
    </xdr:from>
    <xdr:to>
      <xdr:col>2</xdr:col>
      <xdr:colOff>1970</xdr:colOff>
      <xdr:row>15</xdr:row>
      <xdr:rowOff>60235</xdr:rowOff>
    </xdr:to>
    <xdr:sp macro="[0]!NextMitu_Click" textlink="">
      <xdr:nvSpPr>
        <xdr:cNvPr id="2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15126" y="4690722"/>
          <a:ext cx="3600000" cy="14536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4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4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0</xdr:row>
      <xdr:rowOff>17320</xdr:rowOff>
    </xdr:from>
    <xdr:to>
      <xdr:col>6</xdr:col>
      <xdr:colOff>664523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46914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530679</xdr:colOff>
      <xdr:row>0</xdr:row>
      <xdr:rowOff>366767</xdr:rowOff>
    </xdr:from>
    <xdr:to>
      <xdr:col>17</xdr:col>
      <xdr:colOff>24040</xdr:colOff>
      <xdr:row>2</xdr:row>
      <xdr:rowOff>31716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722179" y="366767"/>
          <a:ext cx="4708298" cy="984842"/>
        </a:xfrm>
        <a:prstGeom prst="rect">
          <a:avLst/>
        </a:prstGeom>
      </xdr:spPr>
    </xdr:pic>
    <xdr:clientData/>
  </xdr:twoCellAnchor>
  <xdr:twoCellAnchor>
    <xdr:from>
      <xdr:col>10</xdr:col>
      <xdr:colOff>726601</xdr:colOff>
      <xdr:row>11</xdr:row>
      <xdr:rowOff>166688</xdr:rowOff>
    </xdr:from>
    <xdr:to>
      <xdr:col>11</xdr:col>
      <xdr:colOff>1740788</xdr:colOff>
      <xdr:row>14</xdr:row>
      <xdr:rowOff>172031</xdr:rowOff>
    </xdr:to>
    <xdr:sp macro="[0]!ResetMitutoy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394226" y="3845719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>
              <a:solidFill>
                <a:schemeClr val="dk1"/>
              </a:solidFill>
              <a:latin typeface="Comic Sans MS" panose="030F0702030302020204" pitchFamily="66" charset="0"/>
              <a:ea typeface="+mn-ea"/>
              <a:cs typeface="Myanmar Text" panose="020B0502040204020203" pitchFamily="34" charset="0"/>
            </a:rPr>
            <a:t>Clear Content</a:t>
          </a:r>
          <a:endParaRPr lang="th-TH" sz="1800" b="1">
            <a:solidFill>
              <a:schemeClr val="dk1"/>
            </a:solidFill>
            <a:latin typeface="Comic Sans MS" panose="030F0702030302020204" pitchFamily="66" charset="0"/>
            <a:ea typeface="+mn-ea"/>
            <a:cs typeface="Myanmar Text" panose="020B0502040204020203" pitchFamily="34" charset="0"/>
          </a:endParaRPr>
        </a:p>
      </xdr:txBody>
    </xdr:sp>
    <xdr:clientData/>
  </xdr:twoCellAnchor>
  <xdr:twoCellAnchor>
    <xdr:from>
      <xdr:col>10</xdr:col>
      <xdr:colOff>750092</xdr:colOff>
      <xdr:row>16</xdr:row>
      <xdr:rowOff>95362</xdr:rowOff>
    </xdr:from>
    <xdr:to>
      <xdr:col>11</xdr:col>
      <xdr:colOff>1764279</xdr:colOff>
      <xdr:row>19</xdr:row>
      <xdr:rowOff>100706</xdr:rowOff>
    </xdr:to>
    <xdr:sp macro="[0]!Barcode_Click" textlink="">
      <xdr:nvSpPr>
        <xdr:cNvPr id="10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417717" y="4905487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10</xdr:col>
      <xdr:colOff>726279</xdr:colOff>
      <xdr:row>21</xdr:row>
      <xdr:rowOff>35718</xdr:rowOff>
    </xdr:from>
    <xdr:to>
      <xdr:col>11</xdr:col>
      <xdr:colOff>1740466</xdr:colOff>
      <xdr:row>24</xdr:row>
      <xdr:rowOff>41062</xdr:rowOff>
    </xdr:to>
    <xdr:sp macro="[0]!NextAirgauge_Click" textlink="">
      <xdr:nvSpPr>
        <xdr:cNvPr id="11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393904" y="5976937"/>
          <a:ext cx="1800000" cy="684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</xdr:col>
      <xdr:colOff>257736</xdr:colOff>
      <xdr:row>4</xdr:row>
      <xdr:rowOff>152759</xdr:rowOff>
    </xdr:from>
    <xdr:to>
      <xdr:col>9</xdr:col>
      <xdr:colOff>392207</xdr:colOff>
      <xdr:row>11</xdr:row>
      <xdr:rowOff>44823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17" r="8483"/>
        <a:stretch/>
      </xdr:blipFill>
      <xdr:spPr>
        <a:xfrm>
          <a:off x="3081618" y="2270671"/>
          <a:ext cx="4235824" cy="1438476"/>
        </a:xfrm>
        <a:prstGeom prst="rect">
          <a:avLst/>
        </a:prstGeom>
      </xdr:spPr>
    </xdr:pic>
    <xdr:clientData/>
  </xdr:twoCellAnchor>
  <xdr:oneCellAnchor>
    <xdr:from>
      <xdr:col>0</xdr:col>
      <xdr:colOff>452437</xdr:colOff>
      <xdr:row>3</xdr:row>
      <xdr:rowOff>392904</xdr:rowOff>
    </xdr:from>
    <xdr:ext cx="1000125" cy="27384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878420F-E358-E17C-53E6-9C4F2576C8E3}"/>
            </a:ext>
          </a:extLst>
        </xdr:cNvPr>
        <xdr:cNvSpPr txBox="1"/>
      </xdr:nvSpPr>
      <xdr:spPr>
        <a:xfrm>
          <a:off x="452437" y="2083592"/>
          <a:ext cx="1000125" cy="273845"/>
        </a:xfrm>
        <a:prstGeom prst="rect">
          <a:avLst/>
        </a:prstGeom>
        <a:noFill/>
        <a:ln w="63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4.500 - 4.820</a:t>
          </a:r>
          <a:endParaRPr lang="th-TH" sz="1100"/>
        </a:p>
      </xdr:txBody>
    </xdr:sp>
    <xdr:clientData/>
  </xdr:oneCellAnchor>
  <xdr:oneCellAnchor>
    <xdr:from>
      <xdr:col>0</xdr:col>
      <xdr:colOff>440531</xdr:colOff>
      <xdr:row>12</xdr:row>
      <xdr:rowOff>226217</xdr:rowOff>
    </xdr:from>
    <xdr:ext cx="1000125" cy="27384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B13EDC-F65F-C2F9-48AA-C291407A591A}"/>
            </a:ext>
          </a:extLst>
        </xdr:cNvPr>
        <xdr:cNvSpPr txBox="1"/>
      </xdr:nvSpPr>
      <xdr:spPr>
        <a:xfrm>
          <a:off x="440531" y="4131467"/>
          <a:ext cx="1000125" cy="273845"/>
        </a:xfrm>
        <a:prstGeom prst="rect">
          <a:avLst/>
        </a:prstGeom>
        <a:noFill/>
        <a:ln w="635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5.500</a:t>
          </a:r>
          <a:r>
            <a:rPr lang="en-US" sz="1100" baseline="0"/>
            <a:t> - 5.580</a:t>
          </a:r>
          <a:endParaRPr lang="th-TH" sz="1100"/>
        </a:p>
      </xdr:txBody>
    </xdr:sp>
    <xdr:clientData/>
  </xdr:oneCellAnchor>
  <xdr:twoCellAnchor>
    <xdr:from>
      <xdr:col>3</xdr:col>
      <xdr:colOff>268942</xdr:colOff>
      <xdr:row>11</xdr:row>
      <xdr:rowOff>224116</xdr:rowOff>
    </xdr:from>
    <xdr:to>
      <xdr:col>9</xdr:col>
      <xdr:colOff>414618</xdr:colOff>
      <xdr:row>26</xdr:row>
      <xdr:rowOff>201706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5" r="8063"/>
        <a:stretch/>
      </xdr:blipFill>
      <xdr:spPr>
        <a:xfrm>
          <a:off x="3092824" y="3888440"/>
          <a:ext cx="4247029" cy="33393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271688</xdr:colOff>
      <xdr:row>4</xdr:row>
      <xdr:rowOff>7731</xdr:rowOff>
    </xdr:from>
    <xdr:to>
      <xdr:col>13</xdr:col>
      <xdr:colOff>0</xdr:colOff>
      <xdr:row>6</xdr:row>
      <xdr:rowOff>148499</xdr:rowOff>
    </xdr:to>
    <xdr:sp macro="[0]!f_SaveAirgauge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8034563" y="1928812"/>
          <a:ext cx="1800000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SAVE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271688</xdr:colOff>
      <xdr:row>7</xdr:row>
      <xdr:rowOff>142875</xdr:rowOff>
    </xdr:from>
    <xdr:to>
      <xdr:col>13</xdr:col>
      <xdr:colOff>0</xdr:colOff>
      <xdr:row>10</xdr:row>
      <xdr:rowOff>112781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8034563" y="2893219"/>
          <a:ext cx="1800000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13</xdr:col>
      <xdr:colOff>271689</xdr:colOff>
      <xdr:row>11</xdr:row>
      <xdr:rowOff>109104</xdr:rowOff>
    </xdr:from>
    <xdr:to>
      <xdr:col>16</xdr:col>
      <xdr:colOff>0</xdr:colOff>
      <xdr:row>15</xdr:row>
      <xdr:rowOff>79010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10106252" y="3859573"/>
          <a:ext cx="1799998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271688</xdr:colOff>
      <xdr:row>11</xdr:row>
      <xdr:rowOff>107156</xdr:rowOff>
    </xdr:from>
    <xdr:to>
      <xdr:col>13</xdr:col>
      <xdr:colOff>0</xdr:colOff>
      <xdr:row>15</xdr:row>
      <xdr:rowOff>77062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8034563" y="3857625"/>
          <a:ext cx="1800000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269585</xdr:colOff>
      <xdr:row>4</xdr:row>
      <xdr:rowOff>0</xdr:rowOff>
    </xdr:from>
    <xdr:to>
      <xdr:col>16</xdr:col>
      <xdr:colOff>8103</xdr:colOff>
      <xdr:row>6</xdr:row>
      <xdr:rowOff>148500</xdr:rowOff>
    </xdr:to>
    <xdr:sp macro="[0]!Start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spect="1"/>
        </xdr:cNvSpPr>
      </xdr:nvSpPr>
      <xdr:spPr>
        <a:xfrm>
          <a:off x="10104148" y="1928813"/>
          <a:ext cx="1800000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269585</xdr:colOff>
      <xdr:row>7</xdr:row>
      <xdr:rowOff>142874</xdr:rowOff>
    </xdr:from>
    <xdr:to>
      <xdr:col>16</xdr:col>
      <xdr:colOff>8103</xdr:colOff>
      <xdr:row>10</xdr:row>
      <xdr:rowOff>112780</xdr:rowOff>
    </xdr:to>
    <xdr:sp macro="[0]!StopAutoRun" textlink="">
      <xdr:nvSpPr>
        <xdr:cNvPr id="20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spect="1"/>
        </xdr:cNvSpPr>
      </xdr:nvSpPr>
      <xdr:spPr>
        <a:xfrm>
          <a:off x="10104148" y="2893218"/>
          <a:ext cx="1800000" cy="720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0</xdr:col>
      <xdr:colOff>328085</xdr:colOff>
      <xdr:row>11</xdr:row>
      <xdr:rowOff>146561</xdr:rowOff>
    </xdr:from>
    <xdr:to>
      <xdr:col>2</xdr:col>
      <xdr:colOff>265952</xdr:colOff>
      <xdr:row>16</xdr:row>
      <xdr:rowOff>17166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684B54B9-9F4D-E350-A9AF-19BFA4DF5B9B}"/>
            </a:ext>
          </a:extLst>
        </xdr:cNvPr>
        <xdr:cNvGrpSpPr/>
      </xdr:nvGrpSpPr>
      <xdr:grpSpPr>
        <a:xfrm>
          <a:off x="328085" y="3931161"/>
          <a:ext cx="1118967" cy="950105"/>
          <a:chOff x="328085" y="4379894"/>
          <a:chExt cx="1123200" cy="960689"/>
        </a:xfrm>
      </xdr:grpSpPr>
      <xdr:sp macro="" textlink="">
        <xdr:nvSpPr>
          <xdr:cNvPr id="33" name="สี่เหลี่ยมผืนผ้า: มุมมน 32">
            <a:extLst>
              <a:ext uri="{FF2B5EF4-FFF2-40B4-BE49-F238E27FC236}">
                <a16:creationId xmlns:a16="http://schemas.microsoft.com/office/drawing/2014/main" id="{5227C57E-C072-4110-9C58-E2658067942E}"/>
              </a:ext>
            </a:extLst>
          </xdr:cNvPr>
          <xdr:cNvSpPr>
            <a:spLocks noChangeAspect="1"/>
          </xdr:cNvSpPr>
        </xdr:nvSpPr>
        <xdr:spPr>
          <a:xfrm>
            <a:off x="333555" y="4440583"/>
            <a:ext cx="1080000" cy="90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89" name="รูปภาพ 88">
                <a:extLst>
                  <a:ext uri="{FF2B5EF4-FFF2-40B4-BE49-F238E27FC236}">
                    <a16:creationId xmlns:a16="http://schemas.microsoft.com/office/drawing/2014/main" id="{76ACFF00-79E1-0615-E23F-ABD3B07317E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51" spid="_x0000_s1799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328085" y="4379894"/>
                <a:ext cx="1123200" cy="900000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</xdr:col>
      <xdr:colOff>306917</xdr:colOff>
      <xdr:row>11</xdr:row>
      <xdr:rowOff>148166</xdr:rowOff>
    </xdr:from>
    <xdr:to>
      <xdr:col>3</xdr:col>
      <xdr:colOff>647449</xdr:colOff>
      <xdr:row>16</xdr:row>
      <xdr:rowOff>20057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F2E478DF-50D7-6DFF-839D-A643733D2EA4}"/>
            </a:ext>
          </a:extLst>
        </xdr:cNvPr>
        <xdr:cNvGrpSpPr/>
      </xdr:nvGrpSpPr>
      <xdr:grpSpPr>
        <a:xfrm>
          <a:off x="1488017" y="3932766"/>
          <a:ext cx="1127932" cy="951391"/>
          <a:chOff x="1492250" y="4381499"/>
          <a:chExt cx="1123699" cy="961975"/>
        </a:xfrm>
      </xdr:grpSpPr>
      <xdr:sp macro="" textlink="">
        <xdr:nvSpPr>
          <xdr:cNvPr id="40" name="สี่เหลี่ยมผืนผ้า: มุมมน 39">
            <a:extLst>
              <a:ext uri="{FF2B5EF4-FFF2-40B4-BE49-F238E27FC236}">
                <a16:creationId xmlns:a16="http://schemas.microsoft.com/office/drawing/2014/main" id="{896B722F-FA75-4737-91F5-2F2B93D18538}"/>
              </a:ext>
            </a:extLst>
          </xdr:cNvPr>
          <xdr:cNvSpPr>
            <a:spLocks noChangeAspect="1"/>
          </xdr:cNvSpPr>
        </xdr:nvSpPr>
        <xdr:spPr>
          <a:xfrm>
            <a:off x="1499958" y="4443474"/>
            <a:ext cx="1080000" cy="90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7" name="Picture 16">
                <a:extLst>
                  <a:ext uri="{FF2B5EF4-FFF2-40B4-BE49-F238E27FC236}">
                    <a16:creationId xmlns:a16="http://schemas.microsoft.com/office/drawing/2014/main" id="{86AE1F1E-F2B3-A0C5-A931-30B9F96C7E9E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54" spid="_x0000_s1800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492250" y="4381499"/>
                <a:ext cx="1123699" cy="900000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3</xdr:col>
      <xdr:colOff>677332</xdr:colOff>
      <xdr:row>11</xdr:row>
      <xdr:rowOff>148167</xdr:rowOff>
    </xdr:from>
    <xdr:to>
      <xdr:col>5</xdr:col>
      <xdr:colOff>264288</xdr:colOff>
      <xdr:row>16</xdr:row>
      <xdr:rowOff>22602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E5CF294-9179-8D8B-35B6-9A72EF9B7AD6}"/>
            </a:ext>
          </a:extLst>
        </xdr:cNvPr>
        <xdr:cNvGrpSpPr/>
      </xdr:nvGrpSpPr>
      <xdr:grpSpPr>
        <a:xfrm>
          <a:off x="2645832" y="3932767"/>
          <a:ext cx="1123656" cy="953935"/>
          <a:chOff x="2645832" y="4381500"/>
          <a:chExt cx="1121539" cy="964519"/>
        </a:xfrm>
      </xdr:grpSpPr>
      <xdr:sp macro="" textlink="">
        <xdr:nvSpPr>
          <xdr:cNvPr id="41" name="สี่เหลี่ยมผืนผ้า: มุมมน 40">
            <a:extLst>
              <a:ext uri="{FF2B5EF4-FFF2-40B4-BE49-F238E27FC236}">
                <a16:creationId xmlns:a16="http://schemas.microsoft.com/office/drawing/2014/main" id="{113FBF7E-93FF-47C7-B53F-C32D5CACA71D}"/>
              </a:ext>
            </a:extLst>
          </xdr:cNvPr>
          <xdr:cNvSpPr>
            <a:spLocks noChangeAspect="1"/>
          </xdr:cNvSpPr>
        </xdr:nvSpPr>
        <xdr:spPr>
          <a:xfrm>
            <a:off x="2667336" y="4446019"/>
            <a:ext cx="1080000" cy="90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1" name="Picture 20">
                <a:extLst>
                  <a:ext uri="{FF2B5EF4-FFF2-40B4-BE49-F238E27FC236}">
                    <a16:creationId xmlns:a16="http://schemas.microsoft.com/office/drawing/2014/main" id="{EDB38529-6793-9D32-DE97-AEF09B6E76B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57" spid="_x0000_s1801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2645832" y="4381500"/>
                <a:ext cx="1121539" cy="900000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5</xdr:col>
      <xdr:colOff>317500</xdr:colOff>
      <xdr:row>11</xdr:row>
      <xdr:rowOff>158751</xdr:rowOff>
    </xdr:from>
    <xdr:to>
      <xdr:col>6</xdr:col>
      <xdr:colOff>243122</xdr:colOff>
      <xdr:row>16</xdr:row>
      <xdr:rowOff>34890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E70DE15B-09DA-C10C-7257-4887F4065ABB}"/>
            </a:ext>
          </a:extLst>
        </xdr:cNvPr>
        <xdr:cNvGrpSpPr/>
      </xdr:nvGrpSpPr>
      <xdr:grpSpPr>
        <a:xfrm>
          <a:off x="3822700" y="3943351"/>
          <a:ext cx="1119422" cy="955639"/>
          <a:chOff x="3820583" y="4392084"/>
          <a:chExt cx="1121539" cy="966223"/>
        </a:xfrm>
      </xdr:grpSpPr>
      <xdr:sp macro="" textlink="">
        <xdr:nvSpPr>
          <xdr:cNvPr id="82" name="สี่เหลี่ยมผืนผ้า: มุมมน 81">
            <a:extLst>
              <a:ext uri="{FF2B5EF4-FFF2-40B4-BE49-F238E27FC236}">
                <a16:creationId xmlns:a16="http://schemas.microsoft.com/office/drawing/2014/main" id="{8E84282C-4919-4217-BF59-87A9EA9126C8}"/>
              </a:ext>
            </a:extLst>
          </xdr:cNvPr>
          <xdr:cNvSpPr>
            <a:spLocks noChangeAspect="1"/>
          </xdr:cNvSpPr>
        </xdr:nvSpPr>
        <xdr:spPr>
          <a:xfrm>
            <a:off x="3834861" y="4458307"/>
            <a:ext cx="1080000" cy="90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4" name="Picture 23">
                <a:extLst>
                  <a:ext uri="{FF2B5EF4-FFF2-40B4-BE49-F238E27FC236}">
                    <a16:creationId xmlns:a16="http://schemas.microsoft.com/office/drawing/2014/main" id="{73E46A6C-372F-7432-2CCB-188A48BC1A9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60" spid="_x0000_s1802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3820583" y="4392084"/>
                <a:ext cx="1121539" cy="900000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6</xdr:col>
      <xdr:colOff>285750</xdr:colOff>
      <xdr:row>11</xdr:row>
      <xdr:rowOff>169333</xdr:rowOff>
    </xdr:from>
    <xdr:to>
      <xdr:col>7</xdr:col>
      <xdr:colOff>404032</xdr:colOff>
      <xdr:row>16</xdr:row>
      <xdr:rowOff>37776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80F981CE-FCC5-EBEB-6A81-B91E1C1C4335}"/>
            </a:ext>
          </a:extLst>
        </xdr:cNvPr>
        <xdr:cNvGrpSpPr/>
      </xdr:nvGrpSpPr>
      <xdr:grpSpPr>
        <a:xfrm>
          <a:off x="4984750" y="3953933"/>
          <a:ext cx="1121582" cy="947943"/>
          <a:chOff x="4984750" y="4402666"/>
          <a:chExt cx="1123699" cy="958527"/>
        </a:xfrm>
      </xdr:grpSpPr>
      <xdr:sp macro="" textlink="">
        <xdr:nvSpPr>
          <xdr:cNvPr id="83" name="สี่เหลี่ยมผืนผ้า: มุมมน 82">
            <a:extLst>
              <a:ext uri="{FF2B5EF4-FFF2-40B4-BE49-F238E27FC236}">
                <a16:creationId xmlns:a16="http://schemas.microsoft.com/office/drawing/2014/main" id="{F6CD330F-4E4A-4EA9-A5EC-2869D7063AB9}"/>
              </a:ext>
            </a:extLst>
          </xdr:cNvPr>
          <xdr:cNvSpPr>
            <a:spLocks noChangeAspect="1"/>
          </xdr:cNvSpPr>
        </xdr:nvSpPr>
        <xdr:spPr>
          <a:xfrm>
            <a:off x="4990171" y="4461193"/>
            <a:ext cx="1080000" cy="90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5" name="Picture 24">
                <a:extLst>
                  <a:ext uri="{FF2B5EF4-FFF2-40B4-BE49-F238E27FC236}">
                    <a16:creationId xmlns:a16="http://schemas.microsoft.com/office/drawing/2014/main" id="{2AF34EC6-3D63-8E97-2EC7-1817E38EBB0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63" spid="_x0000_s1803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4984750" y="4402666"/>
                <a:ext cx="1123699" cy="900000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oneCellAnchor>
    <xdr:from>
      <xdr:col>0</xdr:col>
      <xdr:colOff>369095</xdr:colOff>
      <xdr:row>17</xdr:row>
      <xdr:rowOff>44870</xdr:rowOff>
    </xdr:from>
    <xdr:ext cx="1008000" cy="340029"/>
    <xdr:sp macro="" textlink="$E$6">
      <xdr:nvSpPr>
        <xdr:cNvPr id="34" name="TextBox 33">
          <a:extLst>
            <a:ext uri="{FF2B5EF4-FFF2-40B4-BE49-F238E27FC236}">
              <a16:creationId xmlns:a16="http://schemas.microsoft.com/office/drawing/2014/main" id="{92320759-ECB3-CA55-E135-DE61D1349331}"/>
            </a:ext>
          </a:extLst>
        </xdr:cNvPr>
        <xdr:cNvSpPr txBox="1">
          <a:spLocks noChangeAspect="1"/>
        </xdr:cNvSpPr>
      </xdr:nvSpPr>
      <xdr:spPr>
        <a:xfrm>
          <a:off x="369095" y="5069308"/>
          <a:ext cx="1008000" cy="340029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F13C2592-FCE6-491F-B3B8-82628AD492C6}" type="TxLink">
            <a:rPr lang="en-US" sz="16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50.053</a:t>
          </a:fld>
          <a:endParaRPr lang="th-TH" sz="1600"/>
        </a:p>
      </xdr:txBody>
    </xdr:sp>
    <xdr:clientData/>
  </xdr:oneCellAnchor>
  <xdr:oneCellAnchor>
    <xdr:from>
      <xdr:col>2</xdr:col>
      <xdr:colOff>345277</xdr:colOff>
      <xdr:row>17</xdr:row>
      <xdr:rowOff>44875</xdr:rowOff>
    </xdr:from>
    <xdr:ext cx="1008000" cy="340029"/>
    <xdr:sp macro="" textlink="$E$7">
      <xdr:nvSpPr>
        <xdr:cNvPr id="42" name="TextBox 41">
          <a:extLst>
            <a:ext uri="{FF2B5EF4-FFF2-40B4-BE49-F238E27FC236}">
              <a16:creationId xmlns:a16="http://schemas.microsoft.com/office/drawing/2014/main" id="{0F1C3B60-6CA9-4B50-9B75-1D0569736587}"/>
            </a:ext>
          </a:extLst>
        </xdr:cNvPr>
        <xdr:cNvSpPr txBox="1">
          <a:spLocks noChangeAspect="1"/>
        </xdr:cNvSpPr>
      </xdr:nvSpPr>
      <xdr:spPr>
        <a:xfrm>
          <a:off x="1523996" y="5069313"/>
          <a:ext cx="1008000" cy="340029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313485B-610D-4DD1-BAFF-E574649E9AEF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ahoma"/>
              <a:ea typeface="Tahoma"/>
              <a:cs typeface="Tahoma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49.606</a:t>
          </a:fld>
          <a:endParaRPr kumimoji="0" lang="th-TH" sz="16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Tahoma" panose="020B0604030504040204" pitchFamily="34" charset="0"/>
          </a:endParaRPr>
        </a:p>
      </xdr:txBody>
    </xdr:sp>
    <xdr:clientData/>
  </xdr:oneCellAnchor>
  <xdr:oneCellAnchor>
    <xdr:from>
      <xdr:col>3</xdr:col>
      <xdr:colOff>738181</xdr:colOff>
      <xdr:row>17</xdr:row>
      <xdr:rowOff>44872</xdr:rowOff>
    </xdr:from>
    <xdr:ext cx="1008000" cy="340029"/>
    <xdr:sp macro="" textlink="$E$8">
      <xdr:nvSpPr>
        <xdr:cNvPr id="43" name="TextBox 42">
          <a:extLst>
            <a:ext uri="{FF2B5EF4-FFF2-40B4-BE49-F238E27FC236}">
              <a16:creationId xmlns:a16="http://schemas.microsoft.com/office/drawing/2014/main" id="{E2289CFF-E9B8-495D-B163-E0B479AD7CCC}"/>
            </a:ext>
          </a:extLst>
        </xdr:cNvPr>
        <xdr:cNvSpPr txBox="1">
          <a:spLocks noChangeAspect="1"/>
        </xdr:cNvSpPr>
      </xdr:nvSpPr>
      <xdr:spPr>
        <a:xfrm>
          <a:off x="2702712" y="5069310"/>
          <a:ext cx="1008000" cy="340029"/>
        </a:xfrm>
        <a:prstGeom prst="rect">
          <a:avLst/>
        </a:prstGeom>
        <a:solidFill>
          <a:sysClr val="window" lastClr="FFFFFF"/>
        </a:solidFill>
        <a:ln w="28575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DCDD3D-09D3-41CE-B110-5744E0426036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ahoma"/>
              <a:ea typeface="Tahoma"/>
              <a:cs typeface="Tahoma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50.042</a:t>
          </a:fld>
          <a:endParaRPr kumimoji="0" lang="th-TH" sz="16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Tahoma" panose="020B0604030504040204" pitchFamily="34" charset="0"/>
          </a:endParaRPr>
        </a:p>
      </xdr:txBody>
    </xdr:sp>
    <xdr:clientData/>
  </xdr:oneCellAnchor>
  <xdr:oneCellAnchor>
    <xdr:from>
      <xdr:col>5</xdr:col>
      <xdr:colOff>369085</xdr:colOff>
      <xdr:row>17</xdr:row>
      <xdr:rowOff>44870</xdr:rowOff>
    </xdr:from>
    <xdr:ext cx="1008000" cy="340029"/>
    <xdr:sp macro="" textlink="$E$9">
      <xdr:nvSpPr>
        <xdr:cNvPr id="44" name="TextBox 43">
          <a:extLst>
            <a:ext uri="{FF2B5EF4-FFF2-40B4-BE49-F238E27FC236}">
              <a16:creationId xmlns:a16="http://schemas.microsoft.com/office/drawing/2014/main" id="{3D2EB846-D9E9-43DB-B720-2BA90EA04539}"/>
            </a:ext>
          </a:extLst>
        </xdr:cNvPr>
        <xdr:cNvSpPr txBox="1">
          <a:spLocks noChangeAspect="1"/>
        </xdr:cNvSpPr>
      </xdr:nvSpPr>
      <xdr:spPr>
        <a:xfrm>
          <a:off x="3869523" y="5069308"/>
          <a:ext cx="1008000" cy="340029"/>
        </a:xfrm>
        <a:prstGeom prst="rect">
          <a:avLst/>
        </a:prstGeom>
        <a:solidFill>
          <a:sysClr val="window" lastClr="FFFFFF"/>
        </a:solidFill>
        <a:ln w="28575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69081C3-4109-4715-88C5-536508C59335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ahoma"/>
              <a:ea typeface="Tahoma"/>
              <a:cs typeface="Tahoma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59.921</a:t>
          </a:fld>
          <a:endParaRPr kumimoji="0" lang="th-TH" sz="16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Tahoma" panose="020B0604030504040204" pitchFamily="34" charset="0"/>
          </a:endParaRPr>
        </a:p>
      </xdr:txBody>
    </xdr:sp>
    <xdr:clientData/>
  </xdr:oneCellAnchor>
  <xdr:oneCellAnchor>
    <xdr:from>
      <xdr:col>6</xdr:col>
      <xdr:colOff>333353</xdr:colOff>
      <xdr:row>17</xdr:row>
      <xdr:rowOff>45959</xdr:rowOff>
    </xdr:from>
    <xdr:ext cx="1008000" cy="340029"/>
    <xdr:sp macro="" textlink="$E$10">
      <xdr:nvSpPr>
        <xdr:cNvPr id="45" name="TextBox 44">
          <a:extLst>
            <a:ext uri="{FF2B5EF4-FFF2-40B4-BE49-F238E27FC236}">
              <a16:creationId xmlns:a16="http://schemas.microsoft.com/office/drawing/2014/main" id="{4F6BE167-04EC-495D-9E19-0B7613FB22CC}"/>
            </a:ext>
          </a:extLst>
        </xdr:cNvPr>
        <xdr:cNvSpPr txBox="1">
          <a:spLocks noChangeAspect="1"/>
        </xdr:cNvSpPr>
      </xdr:nvSpPr>
      <xdr:spPr>
        <a:xfrm>
          <a:off x="5024416" y="5070397"/>
          <a:ext cx="1008000" cy="340029"/>
        </a:xfrm>
        <a:prstGeom prst="rect">
          <a:avLst/>
        </a:prstGeom>
        <a:solidFill>
          <a:sysClr val="window" lastClr="FFFFFF"/>
        </a:solidFill>
        <a:ln w="28575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E0D40CD-DF7A-4746-A62A-6F5290C6EAAA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ahoma"/>
              <a:ea typeface="Tahoma"/>
              <a:cs typeface="Tahoma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140.989</a:t>
          </a:fld>
          <a:endParaRPr kumimoji="0" lang="th-TH" sz="16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Tahoma" panose="020B0604030504040204" pitchFamily="34" charset="0"/>
          </a:endParaRPr>
        </a:p>
      </xdr:txBody>
    </xdr:sp>
    <xdr:clientData/>
  </xdr:oneCellAnchor>
  <xdr:oneCellAnchor>
    <xdr:from>
      <xdr:col>7</xdr:col>
      <xdr:colOff>500044</xdr:colOff>
      <xdr:row>17</xdr:row>
      <xdr:rowOff>45960</xdr:rowOff>
    </xdr:from>
    <xdr:ext cx="1008000" cy="340029"/>
    <xdr:sp macro="" textlink="$E$11">
      <xdr:nvSpPr>
        <xdr:cNvPr id="46" name="TextBox 45">
          <a:extLst>
            <a:ext uri="{FF2B5EF4-FFF2-40B4-BE49-F238E27FC236}">
              <a16:creationId xmlns:a16="http://schemas.microsoft.com/office/drawing/2014/main" id="{B428F113-FFBD-4CE9-8763-83B17797B25A}"/>
            </a:ext>
          </a:extLst>
        </xdr:cNvPr>
        <xdr:cNvSpPr txBox="1">
          <a:spLocks noChangeAspect="1"/>
        </xdr:cNvSpPr>
      </xdr:nvSpPr>
      <xdr:spPr>
        <a:xfrm>
          <a:off x="6191232" y="5070398"/>
          <a:ext cx="1008000" cy="340029"/>
        </a:xfrm>
        <a:prstGeom prst="rect">
          <a:avLst/>
        </a:prstGeom>
        <a:solidFill>
          <a:sysClr val="window" lastClr="FFFFFF"/>
        </a:solidFill>
        <a:ln w="28575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80D1D6-5CCD-44A5-B948-69F975133E59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ahoma"/>
              <a:ea typeface="Tahoma"/>
              <a:cs typeface="Tahoma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43.807</a:t>
          </a:fld>
          <a:endParaRPr kumimoji="0" lang="th-TH" sz="16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ptos Narrow" panose="02110004020202020204"/>
            <a:ea typeface="+mn-ea"/>
            <a:cs typeface="Tahoma" panose="020B0604030504040204" pitchFamily="34" charset="0"/>
          </a:endParaRPr>
        </a:p>
      </xdr:txBody>
    </xdr:sp>
    <xdr:clientData/>
  </xdr:oneCellAnchor>
  <xdr:twoCellAnchor editAs="oneCell">
    <xdr:from>
      <xdr:col>0</xdr:col>
      <xdr:colOff>457199</xdr:colOff>
      <xdr:row>21</xdr:row>
      <xdr:rowOff>4</xdr:rowOff>
    </xdr:from>
    <xdr:to>
      <xdr:col>5</xdr:col>
      <xdr:colOff>457200</xdr:colOff>
      <xdr:row>28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F4B527E2-79C7-E8A2-DD1C-3796A40EF9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00" r="9843"/>
        <a:stretch/>
      </xdr:blipFill>
      <xdr:spPr>
        <a:xfrm>
          <a:off x="457199" y="5765804"/>
          <a:ext cx="3505201" cy="1244596"/>
        </a:xfrm>
        <a:prstGeom prst="rect">
          <a:avLst/>
        </a:prstGeom>
      </xdr:spPr>
    </xdr:pic>
    <xdr:clientData/>
  </xdr:twoCellAnchor>
  <xdr:twoCellAnchor editAs="oneCell">
    <xdr:from>
      <xdr:col>5</xdr:col>
      <xdr:colOff>825499</xdr:colOff>
      <xdr:row>19</xdr:row>
      <xdr:rowOff>161131</xdr:rowOff>
    </xdr:from>
    <xdr:to>
      <xdr:col>10</xdr:col>
      <xdr:colOff>462530</xdr:colOff>
      <xdr:row>35</xdr:row>
      <xdr:rowOff>156028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8463868C-710D-AF6E-0DFB-2414B8059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20"/>
        <a:stretch/>
      </xdr:blipFill>
      <xdr:spPr>
        <a:xfrm>
          <a:off x="4330699" y="5571331"/>
          <a:ext cx="3891531" cy="2839697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11</xdr:row>
      <xdr:rowOff>161925</xdr:rowOff>
    </xdr:from>
    <xdr:to>
      <xdr:col>9</xdr:col>
      <xdr:colOff>180975</xdr:colOff>
      <xdr:row>15</xdr:row>
      <xdr:rowOff>304800</xdr:rowOff>
    </xdr:to>
    <xdr:sp macro="" textlink="">
      <xdr:nvSpPr>
        <xdr:cNvPr id="1459" name="AutoShape 435">
          <a:extLst>
            <a:ext uri="{FF2B5EF4-FFF2-40B4-BE49-F238E27FC236}">
              <a16:creationId xmlns:a16="http://schemas.microsoft.com/office/drawing/2014/main" id="{4199E10E-2089-BFC2-E007-0812FF589A83}"/>
            </a:ext>
          </a:extLst>
        </xdr:cNvPr>
        <xdr:cNvSpPr>
          <a:spLocks noChangeAspect="1" noChangeArrowheads="1"/>
        </xdr:cNvSpPr>
      </xdr:nvSpPr>
      <xdr:spPr bwMode="auto">
        <a:xfrm>
          <a:off x="6115050" y="3905250"/>
          <a:ext cx="1123950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421820</xdr:colOff>
      <xdr:row>11</xdr:row>
      <xdr:rowOff>163287</xdr:rowOff>
    </xdr:from>
    <xdr:to>
      <xdr:col>9</xdr:col>
      <xdr:colOff>187906</xdr:colOff>
      <xdr:row>16</xdr:row>
      <xdr:rowOff>40318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07D63E1-41A4-9DD7-FACC-7E7CFA1EF55C}"/>
            </a:ext>
          </a:extLst>
        </xdr:cNvPr>
        <xdr:cNvGrpSpPr/>
      </xdr:nvGrpSpPr>
      <xdr:grpSpPr>
        <a:xfrm>
          <a:off x="6124120" y="3947887"/>
          <a:ext cx="1137686" cy="956531"/>
          <a:chOff x="6113008" y="3913756"/>
          <a:chExt cx="1147211" cy="960500"/>
        </a:xfrm>
      </xdr:grpSpPr>
      <xdr:sp macro="" textlink="">
        <xdr:nvSpPr>
          <xdr:cNvPr id="81" name="สี่เหลี่ยมผืนผ้า: มุมมน 80">
            <a:extLst>
              <a:ext uri="{FF2B5EF4-FFF2-40B4-BE49-F238E27FC236}">
                <a16:creationId xmlns:a16="http://schemas.microsoft.com/office/drawing/2014/main" id="{054E0D17-103E-4D74-83E2-19B66A01960D}"/>
              </a:ext>
            </a:extLst>
          </xdr:cNvPr>
          <xdr:cNvSpPr>
            <a:spLocks noChangeAspect="1"/>
          </xdr:cNvSpPr>
        </xdr:nvSpPr>
        <xdr:spPr>
          <a:xfrm>
            <a:off x="6137356" y="3979973"/>
            <a:ext cx="1085627" cy="894283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0" name="Picture 9">
                <a:extLst>
                  <a:ext uri="{FF2B5EF4-FFF2-40B4-BE49-F238E27FC236}">
                    <a16:creationId xmlns:a16="http://schemas.microsoft.com/office/drawing/2014/main" id="{1CE508E0-CD10-EABA-9877-EF51DC3E761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66" spid="_x0000_s1804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6113008" y="3913756"/>
                <a:ext cx="1147211" cy="896379"/>
              </a:xfrm>
              <a:prstGeom prst="rect">
                <a:avLst/>
              </a:prstGeom>
              <a:noFill/>
              <a:effectLst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428626</xdr:colOff>
      <xdr:row>0</xdr:row>
      <xdr:rowOff>152401</xdr:rowOff>
    </xdr:from>
    <xdr:to>
      <xdr:col>35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D0FE0DCB-A9E4-4EB0-9CCA-86A65730219C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 w="28575"/>
      </a:spPr>
      <a:bodyPr vertOverflow="clip" horzOverflow="clip" wrap="square" rtlCol="0" anchor="ctr">
        <a:spAutoFit/>
      </a:bodyPr>
      <a:lstStyle>
        <a:defPPr algn="ctr">
          <a:defRPr sz="1600" b="0" i="0" u="none" strike="noStrike">
            <a:solidFill>
              <a:srgbClr val="000000"/>
            </a:solidFill>
            <a:latin typeface="Tahoma"/>
            <a:ea typeface="Tahoma"/>
            <a:cs typeface="Tahoma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"/>
  <sheetViews>
    <sheetView showGridLines="0" showRowColHeaders="0" tabSelected="1" zoomScale="70" zoomScaleNormal="70" workbookViewId="0">
      <selection activeCell="A6" sqref="A6"/>
    </sheetView>
  </sheetViews>
  <sheetFormatPr defaultRowHeight="14.25" x14ac:dyDescent="0.2"/>
  <cols>
    <col min="1" max="1" width="102.25" customWidth="1"/>
    <col min="2" max="2" width="29.25" customWidth="1"/>
    <col min="3" max="3" width="23.625" customWidth="1"/>
    <col min="4" max="4" width="16.625" customWidth="1"/>
    <col min="5" max="5" width="16.125" customWidth="1"/>
    <col min="6" max="6" width="21.875" customWidth="1"/>
    <col min="7" max="7" width="19.375" customWidth="1"/>
    <col min="8" max="8" width="43.75" customWidth="1"/>
    <col min="9" max="9" width="14.125" customWidth="1"/>
  </cols>
  <sheetData>
    <row r="1" spans="1:13" ht="75" customHeight="1" x14ac:dyDescent="1.35">
      <c r="A1" s="6"/>
      <c r="B1" s="7"/>
      <c r="C1" s="7"/>
      <c r="D1" s="7"/>
      <c r="E1" s="7"/>
      <c r="F1" s="7"/>
      <c r="G1" s="8"/>
      <c r="H1" s="7"/>
      <c r="I1" s="4"/>
      <c r="J1" s="4"/>
      <c r="K1" s="4"/>
      <c r="L1" s="4"/>
      <c r="M1" s="4"/>
    </row>
    <row r="2" spans="1:13" ht="29.25" customHeight="1" x14ac:dyDescent="0.3">
      <c r="A2" s="12"/>
      <c r="B2" s="12"/>
      <c r="C2" s="12"/>
      <c r="D2" s="12"/>
      <c r="E2" s="12"/>
      <c r="F2" s="12"/>
      <c r="G2" s="12"/>
      <c r="H2" s="12"/>
      <c r="I2" s="5"/>
      <c r="J2" s="5"/>
      <c r="K2" s="5"/>
      <c r="L2" s="5"/>
      <c r="M2" s="5"/>
    </row>
    <row r="3" spans="1:13" ht="14.25" customHeight="1" x14ac:dyDescent="0.2"/>
    <row r="4" spans="1:13" ht="58.5" x14ac:dyDescent="0.2">
      <c r="A4" s="42" t="s">
        <v>9</v>
      </c>
    </row>
    <row r="5" spans="1:13" s="37" customFormat="1" ht="87.75" x14ac:dyDescent="1.05">
      <c r="A5" s="36"/>
      <c r="B5" s="59"/>
    </row>
    <row r="6" spans="1:13" s="37" customFormat="1" ht="87.75" x14ac:dyDescent="1.05">
      <c r="A6" s="36"/>
      <c r="B6" s="60"/>
    </row>
  </sheetData>
  <sheetProtection algorithmName="SHA-512" hashValue="25S5pKtbEx0yRHd5IZpboiesY/YMYysYHuz8QLZMJ8x2l5RgKCi1ONe8lX7rk+73ZdLP0mA+ropUpqYDi/LK7A==" saltValue="T2ls09OrQQBIE0ITbr+SXA==" spinCount="100000" sheet="1" objects="1" scenarios="1" selectLockedCells="1"/>
  <mergeCells count="1">
    <mergeCell ref="B5:B6"/>
  </mergeCells>
  <conditionalFormatting sqref="B5:B6">
    <cfRule type="expression" dxfId="14" priority="1">
      <formula>A5=""</formula>
    </cfRule>
    <cfRule type="cellIs" dxfId="13" priority="2" operator="equal">
      <formula>"NG"</formula>
    </cfRule>
    <cfRule type="cellIs" dxfId="12" priority="3" operator="equal">
      <formula>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28"/>
  <sheetViews>
    <sheetView zoomScale="85" zoomScaleNormal="85" workbookViewId="0">
      <selection activeCell="L6" sqref="L6"/>
    </sheetView>
  </sheetViews>
  <sheetFormatPr defaultColWidth="9" defaultRowHeight="14.25" x14ac:dyDescent="0.2"/>
  <cols>
    <col min="1" max="1" width="18.125" style="11" customWidth="1"/>
    <col min="2" max="2" width="10" style="11" customWidth="1"/>
    <col min="3" max="10" width="9" style="11"/>
    <col min="11" max="11" width="10.25" style="11" customWidth="1"/>
    <col min="12" max="12" width="24" style="11" customWidth="1"/>
    <col min="13" max="16384" width="9" style="11"/>
  </cols>
  <sheetData>
    <row r="1" spans="1:13" s="17" customFormat="1" ht="75" customHeight="1" x14ac:dyDescent="1.35">
      <c r="A1" s="13"/>
      <c r="B1" s="14"/>
      <c r="C1" s="14"/>
      <c r="D1" s="14"/>
      <c r="E1" s="14"/>
      <c r="F1" s="14"/>
      <c r="G1" s="15"/>
      <c r="H1" s="14"/>
      <c r="I1" s="16"/>
      <c r="J1" s="16"/>
      <c r="K1" s="16"/>
      <c r="L1" s="16"/>
      <c r="M1" s="16"/>
    </row>
    <row r="2" spans="1:13" s="20" customFormat="1" ht="29.25" customHeight="1" x14ac:dyDescent="0.3">
      <c r="A2" s="18"/>
      <c r="B2" s="18"/>
      <c r="C2" s="18"/>
      <c r="D2" s="18"/>
      <c r="E2" s="18"/>
      <c r="F2" s="18"/>
      <c r="G2" s="18"/>
      <c r="H2" s="18"/>
      <c r="I2" s="19"/>
      <c r="J2" s="19"/>
      <c r="K2" s="19"/>
      <c r="L2" s="19"/>
      <c r="M2" s="19"/>
    </row>
    <row r="3" spans="1:13" ht="29.25" customHeight="1" x14ac:dyDescent="0.3">
      <c r="A3" s="21"/>
      <c r="B3" s="21"/>
      <c r="C3" s="21"/>
      <c r="D3" s="21"/>
      <c r="E3" s="21"/>
      <c r="F3" s="21"/>
      <c r="G3" s="21"/>
      <c r="H3" s="21"/>
      <c r="I3" s="22"/>
      <c r="J3" s="22"/>
      <c r="K3" s="22"/>
      <c r="L3" s="22"/>
      <c r="M3" s="22"/>
    </row>
    <row r="4" spans="1:13" ht="33.75" customHeight="1" x14ac:dyDescent="0.25">
      <c r="A4" s="61" t="s">
        <v>11</v>
      </c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22"/>
    </row>
    <row r="5" spans="1:13" ht="15" thickBot="1" x14ac:dyDescent="0.25"/>
    <row r="6" spans="1:13" ht="18" x14ac:dyDescent="0.25">
      <c r="A6" s="32"/>
      <c r="L6" s="33"/>
    </row>
    <row r="7" spans="1:13" ht="18" x14ac:dyDescent="0.25">
      <c r="A7" s="64"/>
      <c r="B7" s="65"/>
      <c r="C7" s="44">
        <v>1</v>
      </c>
      <c r="L7" s="34"/>
    </row>
    <row r="8" spans="1:13" ht="18" x14ac:dyDescent="0.25">
      <c r="A8" s="64"/>
      <c r="B8" s="65"/>
      <c r="C8" s="44">
        <v>2</v>
      </c>
      <c r="L8" s="34"/>
    </row>
    <row r="9" spans="1:13" ht="18" x14ac:dyDescent="0.25">
      <c r="A9" s="64"/>
      <c r="B9" s="65"/>
      <c r="C9" s="44">
        <v>3</v>
      </c>
      <c r="L9" s="34"/>
    </row>
    <row r="10" spans="1:13" ht="18.75" thickBot="1" x14ac:dyDescent="0.3">
      <c r="A10" s="64"/>
      <c r="B10" s="65"/>
      <c r="C10" s="44">
        <v>4</v>
      </c>
      <c r="L10" s="35"/>
    </row>
    <row r="11" spans="1:13" ht="18" x14ac:dyDescent="0.25">
      <c r="A11" s="32"/>
    </row>
    <row r="12" spans="1:13" ht="18" x14ac:dyDescent="0.25">
      <c r="A12" s="32"/>
    </row>
    <row r="13" spans="1:13" ht="18" x14ac:dyDescent="0.25">
      <c r="A13" s="32"/>
    </row>
    <row r="14" spans="1:13" ht="18" x14ac:dyDescent="0.25">
      <c r="A14" s="32"/>
    </row>
    <row r="15" spans="1:13" ht="18" x14ac:dyDescent="0.25">
      <c r="A15" s="32"/>
    </row>
    <row r="16" spans="1:13" ht="18" x14ac:dyDescent="0.25">
      <c r="A16" s="66"/>
      <c r="B16" s="65"/>
      <c r="C16" s="44">
        <v>5</v>
      </c>
    </row>
    <row r="17" spans="1:3" ht="18" x14ac:dyDescent="0.25">
      <c r="A17" s="66"/>
      <c r="B17" s="65"/>
      <c r="C17" s="44">
        <v>6</v>
      </c>
    </row>
    <row r="18" spans="1:3" ht="18" x14ac:dyDescent="0.25">
      <c r="A18" s="66"/>
      <c r="B18" s="65"/>
      <c r="C18" s="44">
        <v>7</v>
      </c>
    </row>
    <row r="19" spans="1:3" ht="18" x14ac:dyDescent="0.25">
      <c r="A19" s="66"/>
      <c r="B19" s="65"/>
      <c r="C19" s="44">
        <v>8</v>
      </c>
    </row>
    <row r="20" spans="1:3" ht="18" x14ac:dyDescent="0.25">
      <c r="A20" s="32"/>
    </row>
    <row r="21" spans="1:3" ht="18" x14ac:dyDescent="0.25">
      <c r="A21" s="32"/>
    </row>
    <row r="22" spans="1:3" ht="18" x14ac:dyDescent="0.25">
      <c r="A22" s="32"/>
    </row>
    <row r="23" spans="1:3" ht="18" x14ac:dyDescent="0.25">
      <c r="A23" s="32"/>
    </row>
    <row r="24" spans="1:3" ht="18" x14ac:dyDescent="0.25">
      <c r="A24" s="32"/>
    </row>
    <row r="25" spans="1:3" ht="18" x14ac:dyDescent="0.25">
      <c r="A25" s="32"/>
    </row>
    <row r="26" spans="1:3" ht="18" x14ac:dyDescent="0.25">
      <c r="A26" s="32"/>
    </row>
    <row r="27" spans="1:3" ht="18" x14ac:dyDescent="0.25">
      <c r="A27" s="32"/>
    </row>
    <row r="28" spans="1:3" ht="18" x14ac:dyDescent="0.25">
      <c r="A28" s="32"/>
    </row>
  </sheetData>
  <sheetProtection algorithmName="SHA-512" hashValue="xKuA+2Cep0i75rtoSvNx1FPc3eYznQYhIkD7YUvKY/i7DgtY0fV8QPOXsMP0/nQ2rtAaaZAvhOeA16EyrGdigA==" saltValue="zIyPrDpyBvS15pF482unmg==" spinCount="100000" sheet="1" objects="1" scenarios="1" selectLockedCells="1"/>
  <mergeCells count="1">
    <mergeCell ref="A4:L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72"/>
  <sheetViews>
    <sheetView zoomScale="75" zoomScaleNormal="75" workbookViewId="0">
      <selection activeCell="L18" sqref="L18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27" customFormat="1" ht="75" customHeight="1" x14ac:dyDescent="1.35">
      <c r="A1" s="23"/>
      <c r="B1" s="24"/>
      <c r="C1" s="24"/>
      <c r="D1" s="24"/>
      <c r="E1" s="24"/>
      <c r="F1" s="24"/>
      <c r="G1" s="25"/>
      <c r="H1" s="24"/>
      <c r="I1" s="26"/>
      <c r="J1" s="26"/>
      <c r="K1" s="26"/>
      <c r="L1" s="26"/>
      <c r="M1" s="26"/>
    </row>
    <row r="2" spans="1:13" s="20" customFormat="1" ht="29.25" customHeight="1" x14ac:dyDescent="0.3">
      <c r="A2" s="28"/>
      <c r="B2" s="29"/>
      <c r="C2" s="29"/>
      <c r="D2" s="29"/>
      <c r="E2" s="30"/>
      <c r="F2" s="30"/>
      <c r="G2" s="29"/>
      <c r="H2" s="31"/>
      <c r="I2" s="19"/>
      <c r="J2" s="19"/>
      <c r="K2" s="19"/>
      <c r="L2" s="19"/>
      <c r="M2" s="19"/>
    </row>
    <row r="4" spans="1:13" s="11" customFormat="1" ht="33.75" customHeight="1" x14ac:dyDescent="0.25">
      <c r="A4" s="61" t="s">
        <v>12</v>
      </c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22"/>
    </row>
    <row r="5" spans="1:13" ht="25.5" customHeight="1" x14ac:dyDescent="0.2">
      <c r="A5" s="9" t="s">
        <v>10</v>
      </c>
      <c r="B5" s="10" t="s">
        <v>0</v>
      </c>
      <c r="C5" s="9" t="s">
        <v>1</v>
      </c>
      <c r="D5" s="9" t="s">
        <v>2</v>
      </c>
      <c r="E5" s="9" t="s">
        <v>3</v>
      </c>
      <c r="F5" s="9" t="s">
        <v>8</v>
      </c>
      <c r="G5" s="9" t="s">
        <v>13</v>
      </c>
      <c r="H5" s="9" t="s">
        <v>6</v>
      </c>
      <c r="I5" s="9" t="s">
        <v>7</v>
      </c>
      <c r="J5" s="4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1">
        <v>50.052999999999997</v>
      </c>
      <c r="H6" s="3">
        <f>$B6+C6</f>
        <v>50.055999999999997</v>
      </c>
      <c r="I6" s="3">
        <f>$B6+D6</f>
        <v>50.030999999999999</v>
      </c>
      <c r="J6" s="1">
        <v>50</v>
      </c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1">
        <v>49.606000000000002</v>
      </c>
      <c r="H7" s="3">
        <f t="shared" ref="H7:H10" si="0">$B7+C7</f>
        <v>49.625</v>
      </c>
      <c r="I7" s="3">
        <f t="shared" ref="I7:I10" si="1">$B7+D7</f>
        <v>49.6</v>
      </c>
      <c r="J7" s="1">
        <v>49.6</v>
      </c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1">
        <v>50.042000000000002</v>
      </c>
      <c r="H8" s="3">
        <f t="shared" si="0"/>
        <v>50.055999999999997</v>
      </c>
      <c r="I8" s="3">
        <f t="shared" si="1"/>
        <v>50.030999999999999</v>
      </c>
      <c r="J8" s="1">
        <v>50</v>
      </c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1">
        <v>59.920999999999999</v>
      </c>
      <c r="H9" s="3">
        <f t="shared" si="0"/>
        <v>59.94</v>
      </c>
      <c r="I9" s="3">
        <f t="shared" si="1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1">
        <v>140.989</v>
      </c>
      <c r="H10" s="3">
        <f t="shared" si="0"/>
        <v>141</v>
      </c>
      <c r="I10" s="3">
        <f t="shared" si="1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1">
        <v>43.807000000000002</v>
      </c>
      <c r="H11" s="3">
        <f>$B11+C11</f>
        <v>43.824999999999996</v>
      </c>
      <c r="I11" s="3">
        <f>$B11+D11</f>
        <v>43.8</v>
      </c>
      <c r="J11" s="1">
        <v>43.79</v>
      </c>
    </row>
    <row r="13" spans="1:13" ht="15" customHeight="1" x14ac:dyDescent="0.2">
      <c r="B13" s="54"/>
      <c r="C13" s="54"/>
      <c r="D13" s="54"/>
      <c r="E13" s="54"/>
      <c r="F13" s="53"/>
      <c r="G13" s="55"/>
    </row>
    <row r="14" spans="1:13" ht="15" customHeight="1" x14ac:dyDescent="0.2">
      <c r="B14" s="54"/>
      <c r="C14" s="54"/>
      <c r="D14" s="54"/>
      <c r="E14" s="54"/>
      <c r="F14" s="53"/>
      <c r="G14" s="55"/>
    </row>
    <row r="15" spans="1:13" ht="15" customHeight="1" x14ac:dyDescent="0.2">
      <c r="B15" s="54"/>
      <c r="C15" s="54"/>
      <c r="D15" s="54"/>
      <c r="E15" s="54"/>
    </row>
    <row r="16" spans="1:13" ht="26.25" customHeight="1" x14ac:dyDescent="0.2">
      <c r="B16" s="54"/>
      <c r="C16" s="54"/>
    </row>
    <row r="17" spans="2:3" ht="15" customHeight="1" x14ac:dyDescent="0.2">
      <c r="B17" s="54"/>
      <c r="C17" s="54"/>
    </row>
    <row r="51" spans="2:4" ht="14.25" customHeight="1" x14ac:dyDescent="0.2">
      <c r="B51" s="62">
        <f>E6</f>
        <v>50.052999999999997</v>
      </c>
      <c r="C51" s="56"/>
      <c r="D51" s="57"/>
    </row>
    <row r="52" spans="2:4" ht="14.25" customHeight="1" x14ac:dyDescent="0.2">
      <c r="B52" s="62"/>
      <c r="C52" s="57"/>
      <c r="D52" s="57"/>
    </row>
    <row r="53" spans="2:4" ht="14.25" customHeight="1" x14ac:dyDescent="0.2">
      <c r="B53" s="62"/>
      <c r="C53" s="57"/>
      <c r="D53" s="57"/>
    </row>
    <row r="54" spans="2:4" ht="14.25" customHeight="1" x14ac:dyDescent="0.2">
      <c r="B54" s="62">
        <f>E7</f>
        <v>49.606000000000002</v>
      </c>
      <c r="C54" s="57"/>
      <c r="D54" s="57"/>
    </row>
    <row r="55" spans="2:4" ht="14.25" customHeight="1" x14ac:dyDescent="0.2">
      <c r="B55" s="62"/>
      <c r="C55" s="57"/>
      <c r="D55" s="57"/>
    </row>
    <row r="56" spans="2:4" ht="14.25" customHeight="1" x14ac:dyDescent="0.2">
      <c r="B56" s="62"/>
      <c r="C56" s="57"/>
      <c r="D56" s="57"/>
    </row>
    <row r="57" spans="2:4" x14ac:dyDescent="0.2">
      <c r="B57" s="62">
        <f>E8</f>
        <v>50.042000000000002</v>
      </c>
    </row>
    <row r="58" spans="2:4" x14ac:dyDescent="0.2">
      <c r="B58" s="62"/>
    </row>
    <row r="59" spans="2:4" x14ac:dyDescent="0.2">
      <c r="B59" s="62"/>
    </row>
    <row r="60" spans="2:4" x14ac:dyDescent="0.2">
      <c r="B60" s="62">
        <f>E9</f>
        <v>59.920999999999999</v>
      </c>
    </row>
    <row r="61" spans="2:4" x14ac:dyDescent="0.2">
      <c r="B61" s="62"/>
    </row>
    <row r="62" spans="2:4" x14ac:dyDescent="0.2">
      <c r="B62" s="62"/>
    </row>
    <row r="63" spans="2:4" x14ac:dyDescent="0.2">
      <c r="B63" s="62">
        <f>E10</f>
        <v>140.989</v>
      </c>
    </row>
    <row r="64" spans="2:4" x14ac:dyDescent="0.2">
      <c r="B64" s="62"/>
    </row>
    <row r="65" spans="2:2" x14ac:dyDescent="0.2">
      <c r="B65" s="62"/>
    </row>
    <row r="66" spans="2:2" ht="14.25" customHeight="1" x14ac:dyDescent="0.2">
      <c r="B66" s="63">
        <f>E11</f>
        <v>43.807000000000002</v>
      </c>
    </row>
    <row r="67" spans="2:2" ht="14.25" customHeight="1" x14ac:dyDescent="0.2">
      <c r="B67" s="63"/>
    </row>
    <row r="68" spans="2:2" ht="14.25" customHeight="1" x14ac:dyDescent="0.2">
      <c r="B68" s="63"/>
    </row>
    <row r="69" spans="2:2" x14ac:dyDescent="0.2">
      <c r="B69" s="58"/>
    </row>
    <row r="70" spans="2:2" x14ac:dyDescent="0.2">
      <c r="B70" s="58"/>
    </row>
    <row r="71" spans="2:2" x14ac:dyDescent="0.2">
      <c r="B71" s="58"/>
    </row>
    <row r="72" spans="2:2" x14ac:dyDescent="0.2">
      <c r="B72" s="58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3" operator="notBetween">
      <formula>$H6</formula>
      <formula>$I6</formula>
    </cfRule>
    <cfRule type="cellIs" dxfId="10" priority="24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10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9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8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7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1" id="{F80158D2-01F9-43E2-89F3-6E0C445B8E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$H$11+0.001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J50"/>
  <sheetViews>
    <sheetView zoomScale="80" zoomScaleNormal="80" workbookViewId="0">
      <selection activeCell="H22" sqref="H22"/>
    </sheetView>
  </sheetViews>
  <sheetFormatPr defaultColWidth="9" defaultRowHeight="14.25" x14ac:dyDescent="0.2"/>
  <cols>
    <col min="1" max="1" width="4.625" style="41" customWidth="1"/>
    <col min="2" max="2" width="17.125" style="47" customWidth="1"/>
    <col min="3" max="4" width="13.625" style="47" customWidth="1"/>
    <col min="5" max="8" width="9.125" style="50" customWidth="1"/>
    <col min="9" max="18" width="9.125" style="52" customWidth="1"/>
    <col min="19" max="32" width="9.125" style="41" customWidth="1"/>
    <col min="33" max="16384" width="9" style="40"/>
  </cols>
  <sheetData>
    <row r="1" spans="1:36" s="41" customFormat="1" x14ac:dyDescent="0.2">
      <c r="A1" s="38" t="s">
        <v>4</v>
      </c>
      <c r="B1" s="38" t="s">
        <v>5</v>
      </c>
      <c r="C1" s="38" t="s">
        <v>19</v>
      </c>
      <c r="D1" s="38" t="s">
        <v>20</v>
      </c>
      <c r="E1" s="38" t="s">
        <v>21</v>
      </c>
      <c r="F1" s="38" t="s">
        <v>22</v>
      </c>
      <c r="G1" s="38" t="s">
        <v>23</v>
      </c>
      <c r="H1" s="38" t="s">
        <v>24</v>
      </c>
      <c r="I1" s="38" t="s">
        <v>25</v>
      </c>
      <c r="J1" s="38" t="s">
        <v>26</v>
      </c>
      <c r="K1" s="38" t="s">
        <v>27</v>
      </c>
      <c r="L1" s="38" t="s">
        <v>28</v>
      </c>
      <c r="M1" s="38" t="s">
        <v>29</v>
      </c>
      <c r="N1" s="38" t="s">
        <v>30</v>
      </c>
      <c r="O1" s="38" t="s">
        <v>31</v>
      </c>
      <c r="P1" s="38" t="s">
        <v>32</v>
      </c>
      <c r="Q1" s="38" t="s">
        <v>33</v>
      </c>
      <c r="R1" s="38" t="s">
        <v>34</v>
      </c>
      <c r="S1" s="38" t="s">
        <v>21</v>
      </c>
      <c r="T1" s="38" t="s">
        <v>22</v>
      </c>
      <c r="U1" s="38" t="s">
        <v>23</v>
      </c>
      <c r="V1" s="38" t="s">
        <v>24</v>
      </c>
      <c r="W1" s="38" t="s">
        <v>25</v>
      </c>
      <c r="X1" s="38" t="s">
        <v>26</v>
      </c>
      <c r="Y1" s="38" t="s">
        <v>27</v>
      </c>
      <c r="Z1" s="38" t="s">
        <v>28</v>
      </c>
      <c r="AA1" s="38" t="s">
        <v>29</v>
      </c>
      <c r="AB1" s="38" t="s">
        <v>30</v>
      </c>
      <c r="AC1" s="38" t="s">
        <v>31</v>
      </c>
      <c r="AD1" s="38" t="s">
        <v>32</v>
      </c>
      <c r="AE1" s="38" t="s">
        <v>33</v>
      </c>
      <c r="AF1" s="38" t="s">
        <v>34</v>
      </c>
      <c r="AG1" s="38" t="s">
        <v>18</v>
      </c>
      <c r="AH1" s="39"/>
      <c r="AI1" s="39"/>
      <c r="AJ1" s="39"/>
    </row>
    <row r="2" spans="1:36" x14ac:dyDescent="0.2">
      <c r="A2" s="39">
        <v>1</v>
      </c>
      <c r="B2" s="45">
        <v>45999.617303240739</v>
      </c>
      <c r="C2" s="48" t="s">
        <v>36</v>
      </c>
      <c r="D2" s="48" t="s">
        <v>36</v>
      </c>
      <c r="E2" s="49">
        <v>4.58</v>
      </c>
      <c r="F2" s="49">
        <v>4.53</v>
      </c>
      <c r="G2" s="49">
        <v>4.67</v>
      </c>
      <c r="H2" s="49">
        <v>4.57</v>
      </c>
      <c r="I2" s="51">
        <v>5.556</v>
      </c>
      <c r="J2" s="51">
        <v>5.5549999999999997</v>
      </c>
      <c r="K2" s="51">
        <v>5.5570000000000004</v>
      </c>
      <c r="L2" s="52">
        <v>5.5570000000000004</v>
      </c>
      <c r="M2" s="52">
        <v>50.052999999999997</v>
      </c>
      <c r="N2" s="52">
        <v>49.606000000000002</v>
      </c>
      <c r="O2" s="52">
        <v>50.04</v>
      </c>
      <c r="P2" s="52">
        <v>59.920999999999999</v>
      </c>
      <c r="Q2" s="52">
        <v>140.99</v>
      </c>
      <c r="R2" s="51">
        <v>43.805999999999997</v>
      </c>
      <c r="S2" s="39" t="s">
        <v>35</v>
      </c>
      <c r="T2" s="39" t="s">
        <v>35</v>
      </c>
      <c r="U2" s="39" t="s">
        <v>35</v>
      </c>
      <c r="V2" s="39" t="s">
        <v>35</v>
      </c>
      <c r="W2" s="39" t="s">
        <v>35</v>
      </c>
      <c r="X2" s="39" t="s">
        <v>35</v>
      </c>
      <c r="Y2" s="39" t="s">
        <v>35</v>
      </c>
      <c r="Z2" s="39" t="s">
        <v>35</v>
      </c>
      <c r="AA2" s="39" t="s">
        <v>35</v>
      </c>
      <c r="AB2" s="39" t="s">
        <v>35</v>
      </c>
      <c r="AC2" s="39" t="s">
        <v>35</v>
      </c>
      <c r="AD2" s="39" t="s">
        <v>35</v>
      </c>
      <c r="AE2" s="39" t="s">
        <v>35</v>
      </c>
      <c r="AF2" s="41" t="s">
        <v>35</v>
      </c>
    </row>
    <row r="3" spans="1:36" x14ac:dyDescent="0.2">
      <c r="A3" s="39">
        <v>2</v>
      </c>
      <c r="B3" s="45">
        <v>45999.617442129631</v>
      </c>
      <c r="C3" s="48" t="s">
        <v>36</v>
      </c>
      <c r="D3" s="48" t="s">
        <v>36</v>
      </c>
      <c r="E3" s="49">
        <v>4.58</v>
      </c>
      <c r="F3" s="49">
        <v>4.53</v>
      </c>
      <c r="G3" s="49">
        <v>4.67</v>
      </c>
      <c r="H3" s="49">
        <v>4.57</v>
      </c>
      <c r="I3" s="51">
        <v>5.556</v>
      </c>
      <c r="J3" s="51">
        <v>5.5549999999999997</v>
      </c>
      <c r="K3" s="51">
        <v>5.5570000000000004</v>
      </c>
      <c r="L3" s="51">
        <v>5.5570000000000004</v>
      </c>
      <c r="M3" s="51">
        <v>50.052</v>
      </c>
      <c r="N3" s="51">
        <v>49.606000000000002</v>
      </c>
      <c r="O3" s="51">
        <v>50.040999999999997</v>
      </c>
      <c r="P3" s="51">
        <v>59.920999999999999</v>
      </c>
      <c r="Q3" s="51">
        <v>140.99</v>
      </c>
      <c r="R3" s="51">
        <v>43.807000000000002</v>
      </c>
      <c r="S3" s="39" t="s">
        <v>35</v>
      </c>
      <c r="T3" s="39" t="s">
        <v>35</v>
      </c>
      <c r="U3" s="39" t="s">
        <v>35</v>
      </c>
      <c r="V3" s="39" t="s">
        <v>35</v>
      </c>
      <c r="W3" s="39" t="s">
        <v>35</v>
      </c>
      <c r="X3" s="39" t="s">
        <v>35</v>
      </c>
      <c r="Y3" s="39" t="s">
        <v>35</v>
      </c>
      <c r="Z3" s="39" t="s">
        <v>35</v>
      </c>
      <c r="AA3" s="39" t="s">
        <v>35</v>
      </c>
      <c r="AB3" s="39" t="s">
        <v>35</v>
      </c>
      <c r="AC3" s="39" t="s">
        <v>35</v>
      </c>
      <c r="AD3" s="39" t="s">
        <v>35</v>
      </c>
      <c r="AE3" s="39" t="s">
        <v>35</v>
      </c>
      <c r="AF3" s="41" t="s">
        <v>35</v>
      </c>
    </row>
    <row r="4" spans="1:36" x14ac:dyDescent="0.2">
      <c r="A4" s="39">
        <v>3</v>
      </c>
      <c r="B4" s="45">
        <v>45999.61755787037</v>
      </c>
      <c r="C4" s="48" t="s">
        <v>36</v>
      </c>
      <c r="D4" s="48" t="s">
        <v>36</v>
      </c>
      <c r="E4" s="49">
        <v>4.58</v>
      </c>
      <c r="F4" s="49">
        <v>4.53</v>
      </c>
      <c r="G4" s="49">
        <v>4.67</v>
      </c>
      <c r="H4" s="49">
        <v>4.57</v>
      </c>
      <c r="I4" s="51">
        <v>5.556</v>
      </c>
      <c r="J4" s="51">
        <v>5.5549999999999997</v>
      </c>
      <c r="K4" s="51">
        <v>5.5570000000000004</v>
      </c>
      <c r="L4" s="51">
        <v>5.5570000000000004</v>
      </c>
      <c r="M4" s="51">
        <v>50.052999999999997</v>
      </c>
      <c r="N4" s="51">
        <v>49.606000000000002</v>
      </c>
      <c r="O4" s="51">
        <v>50.042000000000002</v>
      </c>
      <c r="P4" s="51">
        <v>59.920999999999999</v>
      </c>
      <c r="Q4" s="51">
        <v>140.989</v>
      </c>
      <c r="R4" s="51">
        <v>43.807000000000002</v>
      </c>
      <c r="S4" s="39" t="s">
        <v>35</v>
      </c>
      <c r="T4" s="39" t="s">
        <v>35</v>
      </c>
      <c r="U4" s="39" t="s">
        <v>35</v>
      </c>
      <c r="V4" s="39" t="s">
        <v>35</v>
      </c>
      <c r="W4" s="39" t="s">
        <v>35</v>
      </c>
      <c r="X4" s="39" t="s">
        <v>35</v>
      </c>
      <c r="Y4" s="39" t="s">
        <v>35</v>
      </c>
      <c r="Z4" s="39" t="s">
        <v>35</v>
      </c>
      <c r="AA4" s="39" t="s">
        <v>35</v>
      </c>
      <c r="AB4" s="39" t="s">
        <v>35</v>
      </c>
      <c r="AC4" s="39" t="s">
        <v>35</v>
      </c>
      <c r="AD4" s="39" t="s">
        <v>35</v>
      </c>
      <c r="AE4" s="39" t="s">
        <v>35</v>
      </c>
      <c r="AF4" s="41" t="s">
        <v>35</v>
      </c>
    </row>
    <row r="5" spans="1:36" x14ac:dyDescent="0.2">
      <c r="A5" s="39"/>
      <c r="B5" s="45"/>
      <c r="C5" s="48"/>
      <c r="D5" s="48"/>
      <c r="E5" s="49"/>
      <c r="F5" s="49"/>
      <c r="G5" s="49"/>
      <c r="H5" s="49"/>
      <c r="I5" s="51"/>
      <c r="J5" s="51"/>
      <c r="K5" s="51"/>
      <c r="L5" s="51"/>
      <c r="M5" s="51"/>
      <c r="N5" s="51"/>
      <c r="O5" s="51"/>
      <c r="P5" s="51"/>
      <c r="Q5" s="51"/>
      <c r="R5" s="51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1:36" x14ac:dyDescent="0.2">
      <c r="A6" s="39"/>
      <c r="B6" s="45"/>
      <c r="C6" s="48"/>
      <c r="D6" s="48"/>
      <c r="E6" s="49"/>
      <c r="F6" s="49"/>
      <c r="G6" s="49"/>
      <c r="H6" s="49"/>
      <c r="I6" s="51"/>
      <c r="J6" s="51"/>
      <c r="K6" s="51"/>
      <c r="L6" s="51"/>
      <c r="M6" s="51"/>
      <c r="N6" s="51"/>
      <c r="O6" s="51"/>
      <c r="P6" s="51"/>
      <c r="Q6" s="51"/>
      <c r="R6" s="51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1:36" x14ac:dyDescent="0.2">
      <c r="A7" s="39"/>
      <c r="B7" s="45"/>
      <c r="C7" s="48"/>
      <c r="D7" s="48"/>
      <c r="E7" s="49"/>
      <c r="F7" s="49"/>
      <c r="G7" s="49"/>
      <c r="H7" s="49"/>
      <c r="I7" s="51"/>
      <c r="J7" s="51"/>
      <c r="K7" s="51"/>
      <c r="L7" s="51"/>
      <c r="M7" s="51"/>
      <c r="N7" s="51"/>
      <c r="O7" s="51"/>
      <c r="P7" s="51"/>
      <c r="Q7" s="51"/>
      <c r="R7" s="51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1:36" x14ac:dyDescent="0.2">
      <c r="A8" s="39"/>
      <c r="B8" s="45"/>
      <c r="C8" s="48"/>
      <c r="D8" s="48"/>
      <c r="E8" s="49"/>
      <c r="F8" s="49"/>
      <c r="G8" s="49"/>
      <c r="H8" s="49"/>
      <c r="I8" s="51"/>
      <c r="J8" s="51"/>
      <c r="K8" s="51"/>
      <c r="L8" s="51"/>
      <c r="M8" s="51"/>
      <c r="N8" s="51"/>
      <c r="O8" s="51"/>
      <c r="P8" s="51"/>
      <c r="Q8" s="51"/>
      <c r="R8" s="51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1:36" x14ac:dyDescent="0.2">
      <c r="A9" s="39"/>
      <c r="B9" s="45"/>
      <c r="C9" s="48"/>
      <c r="D9" s="48"/>
      <c r="E9" s="49"/>
      <c r="F9" s="49"/>
      <c r="G9" s="49"/>
      <c r="H9" s="49"/>
      <c r="I9" s="51"/>
      <c r="J9" s="51"/>
      <c r="K9" s="51"/>
      <c r="L9" s="51"/>
      <c r="M9" s="51"/>
      <c r="N9" s="51"/>
      <c r="O9" s="51"/>
      <c r="P9" s="51"/>
      <c r="Q9" s="51"/>
      <c r="R9" s="51"/>
      <c r="S9" s="39"/>
      <c r="T9" s="39"/>
      <c r="U9" s="39"/>
      <c r="V9" s="39"/>
      <c r="W9" s="39"/>
      <c r="X9" s="39"/>
      <c r="Y9" s="39"/>
    </row>
    <row r="10" spans="1:36" x14ac:dyDescent="0.2">
      <c r="A10" s="39"/>
      <c r="B10" s="45"/>
      <c r="C10" s="48"/>
      <c r="D10" s="48"/>
      <c r="E10" s="49"/>
      <c r="F10" s="49"/>
      <c r="G10" s="49"/>
      <c r="H10" s="49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39"/>
      <c r="T10" s="39"/>
      <c r="U10" s="39"/>
      <c r="V10" s="39"/>
      <c r="W10" s="39"/>
      <c r="X10" s="39"/>
      <c r="Y10" s="39"/>
    </row>
    <row r="11" spans="1:36" x14ac:dyDescent="0.2">
      <c r="B11" s="46"/>
    </row>
    <row r="12" spans="1:36" x14ac:dyDescent="0.2">
      <c r="B12" s="46"/>
    </row>
    <row r="13" spans="1:36" x14ac:dyDescent="0.2">
      <c r="B13" s="46"/>
    </row>
    <row r="14" spans="1:36" x14ac:dyDescent="0.2">
      <c r="B14" s="46"/>
    </row>
    <row r="15" spans="1:36" x14ac:dyDescent="0.2">
      <c r="B15" s="46"/>
    </row>
    <row r="16" spans="1:36" x14ac:dyDescent="0.2">
      <c r="B16" s="46"/>
    </row>
    <row r="17" spans="2:2" x14ac:dyDescent="0.2">
      <c r="B17" s="46"/>
    </row>
    <row r="18" spans="2:2" x14ac:dyDescent="0.2">
      <c r="B18" s="46"/>
    </row>
    <row r="19" spans="2:2" x14ac:dyDescent="0.2">
      <c r="B19" s="46"/>
    </row>
    <row r="20" spans="2:2" x14ac:dyDescent="0.2">
      <c r="B20" s="46"/>
    </row>
    <row r="21" spans="2:2" x14ac:dyDescent="0.2">
      <c r="B21" s="46"/>
    </row>
    <row r="22" spans="2:2" x14ac:dyDescent="0.2">
      <c r="B22" s="46"/>
    </row>
    <row r="23" spans="2:2" x14ac:dyDescent="0.2">
      <c r="B23" s="46"/>
    </row>
    <row r="24" spans="2:2" x14ac:dyDescent="0.2">
      <c r="B24" s="46"/>
    </row>
    <row r="25" spans="2:2" x14ac:dyDescent="0.2">
      <c r="B25" s="46"/>
    </row>
    <row r="26" spans="2:2" x14ac:dyDescent="0.2">
      <c r="B26" s="46"/>
    </row>
    <row r="27" spans="2:2" x14ac:dyDescent="0.2">
      <c r="B27" s="46"/>
    </row>
    <row r="28" spans="2:2" x14ac:dyDescent="0.2">
      <c r="B28" s="46"/>
    </row>
    <row r="29" spans="2:2" x14ac:dyDescent="0.2">
      <c r="B29" s="46"/>
    </row>
    <row r="30" spans="2:2" x14ac:dyDescent="0.2">
      <c r="B30" s="46"/>
    </row>
    <row r="31" spans="2:2" x14ac:dyDescent="0.2">
      <c r="B31" s="46"/>
    </row>
    <row r="32" spans="2:2" x14ac:dyDescent="0.2">
      <c r="B32" s="46"/>
    </row>
    <row r="33" spans="2:2" x14ac:dyDescent="0.2">
      <c r="B33" s="46"/>
    </row>
    <row r="34" spans="2:2" x14ac:dyDescent="0.2">
      <c r="B34" s="46"/>
    </row>
    <row r="35" spans="2:2" x14ac:dyDescent="0.2">
      <c r="B35" s="46"/>
    </row>
    <row r="36" spans="2:2" x14ac:dyDescent="0.2">
      <c r="B36" s="46"/>
    </row>
    <row r="37" spans="2:2" x14ac:dyDescent="0.2">
      <c r="B37" s="46"/>
    </row>
    <row r="38" spans="2:2" x14ac:dyDescent="0.2">
      <c r="B38" s="46"/>
    </row>
    <row r="39" spans="2:2" x14ac:dyDescent="0.2">
      <c r="B39" s="46"/>
    </row>
    <row r="40" spans="2:2" x14ac:dyDescent="0.2">
      <c r="B40" s="46"/>
    </row>
    <row r="41" spans="2:2" x14ac:dyDescent="0.2">
      <c r="B41" s="46"/>
    </row>
    <row r="42" spans="2:2" x14ac:dyDescent="0.2">
      <c r="B42" s="46"/>
    </row>
    <row r="43" spans="2:2" x14ac:dyDescent="0.2">
      <c r="B43" s="46"/>
    </row>
    <row r="44" spans="2:2" x14ac:dyDescent="0.2">
      <c r="B44" s="46"/>
    </row>
    <row r="45" spans="2:2" x14ac:dyDescent="0.2">
      <c r="B45" s="46"/>
    </row>
    <row r="46" spans="2:2" x14ac:dyDescent="0.2">
      <c r="B46" s="46"/>
    </row>
    <row r="47" spans="2:2" x14ac:dyDescent="0.2">
      <c r="B47" s="46"/>
    </row>
    <row r="48" spans="2:2" x14ac:dyDescent="0.2">
      <c r="B48" s="46"/>
    </row>
    <row r="49" spans="2:2" x14ac:dyDescent="0.2">
      <c r="B49" s="46"/>
    </row>
    <row r="50" spans="2:2" x14ac:dyDescent="0.2">
      <c r="B50" s="46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1"/>
  <sheetViews>
    <sheetView showRowColHeaders="0" workbookViewId="0">
      <selection activeCell="I9" sqref="I9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Barcode</vt:lpstr>
      <vt:lpstr>Mitutoyo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2025-12-08T08:18:19Z</dcterms:modified>
</cp:coreProperties>
</file>