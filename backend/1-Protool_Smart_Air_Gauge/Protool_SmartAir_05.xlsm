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rotool_Smart_Air_Gauge\"/>
    </mc:Choice>
  </mc:AlternateContent>
  <xr:revisionPtr revIDLastSave="0" documentId="13_ncr:1_{69145EB4-D9C5-43CA-A693-7AA79524F92B}" xr6:coauthVersionLast="47" xr6:coauthVersionMax="47" xr10:uidLastSave="{00000000-0000-0000-0000-000000000000}"/>
  <bookViews>
    <workbookView xWindow="-120" yWindow="-120" windowWidth="15600" windowHeight="11160" tabRatio="767" activeTab="1" xr2:uid="{00000000-000D-0000-FFFF-FFFF00000000}"/>
  </bookViews>
  <sheets>
    <sheet name="Main" sheetId="2" r:id="rId1"/>
    <sheet name="Airgauge" sheetId="3" r:id="rId2"/>
    <sheet name="HistoryData" sheetId="4" r:id="rId3"/>
    <sheet name="tmp" sheetId="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52" i="2" l="1"/>
  <c r="AH75" i="2"/>
  <c r="AC75" i="2"/>
  <c r="X75" i="2"/>
  <c r="AH52" i="2"/>
  <c r="AC52" i="2"/>
  <c r="B66" i="3"/>
  <c r="B63" i="3"/>
  <c r="B60" i="3"/>
  <c r="B57" i="3"/>
  <c r="B54" i="3"/>
  <c r="B51" i="3"/>
  <c r="I11" i="3"/>
  <c r="H11" i="3"/>
  <c r="I10" i="3"/>
  <c r="H10" i="3"/>
  <c r="I9" i="3"/>
  <c r="H9" i="3"/>
  <c r="I8" i="3"/>
  <c r="H8" i="3"/>
  <c r="I7" i="3"/>
  <c r="H7" i="3"/>
  <c r="I6" i="3"/>
  <c r="H6" i="3"/>
  <c r="AX12" i="2"/>
  <c r="AX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6" authorId="0" shapeId="0" xr:uid="{00000000-0006-0000-0000-000001000000}">
      <text>
        <r>
          <rPr>
            <b/>
            <sz val="9"/>
            <color indexed="81"/>
            <rFont val="Tahoma"/>
            <charset val="222"/>
          </rPr>
          <t>HP:</t>
        </r>
        <r>
          <rPr>
            <sz val="9"/>
            <color indexed="81"/>
            <rFont val="Tahoma"/>
            <charset val="222"/>
          </rPr>
          <t xml:space="preserve">
B31</t>
        </r>
      </text>
    </comment>
    <comment ref="X17" authorId="0" shapeId="0" xr:uid="{00000000-0006-0000-0000-000002000000}">
      <text>
        <r>
          <rPr>
            <b/>
            <sz val="9"/>
            <color indexed="81"/>
            <rFont val="Tahoma"/>
            <charset val="222"/>
          </rPr>
          <t>HP:</t>
        </r>
        <r>
          <rPr>
            <sz val="9"/>
            <color indexed="81"/>
            <rFont val="Tahoma"/>
            <charset val="222"/>
          </rPr>
          <t xml:space="preserve">
J31</t>
        </r>
      </text>
    </comment>
  </commentList>
</comments>
</file>

<file path=xl/sharedStrings.xml><?xml version="1.0" encoding="utf-8"?>
<sst xmlns="http://schemas.openxmlformats.org/spreadsheetml/2006/main" count="52" uniqueCount="44">
  <si>
    <t>Size</t>
  </si>
  <si>
    <t>Tol Max</t>
  </si>
  <si>
    <t>Tol Min</t>
  </si>
  <si>
    <t>Actual</t>
  </si>
  <si>
    <t>No.</t>
  </si>
  <si>
    <t>Date-Time</t>
  </si>
  <si>
    <t>Max</t>
  </si>
  <si>
    <t>Min</t>
  </si>
  <si>
    <t>Actual2</t>
  </si>
  <si>
    <t>Barcode Check</t>
  </si>
  <si>
    <t>NO.</t>
  </si>
  <si>
    <t>Mitutoyo Check</t>
  </si>
  <si>
    <t>Air Gauge Check</t>
  </si>
  <si>
    <t>OK/NG</t>
  </si>
  <si>
    <t>START</t>
  </si>
  <si>
    <t>Num Val1</t>
  </si>
  <si>
    <t>Num Val2</t>
  </si>
  <si>
    <t>Num Val3</t>
  </si>
  <si>
    <t>Result29</t>
  </si>
  <si>
    <t>Serial No. A</t>
  </si>
  <si>
    <t>Serial No. B</t>
  </si>
  <si>
    <t>Vernier 4.5</t>
  </si>
  <si>
    <t>Micro 5.5</t>
  </si>
  <si>
    <t>Barcode1</t>
  </si>
  <si>
    <t>Barcode2</t>
  </si>
  <si>
    <t>4.5 (V)</t>
  </si>
  <si>
    <t>5.5 (V)</t>
  </si>
  <si>
    <t>A50 (V)</t>
  </si>
  <si>
    <t>A49.6 (V)</t>
  </si>
  <si>
    <t>B50 (V)</t>
  </si>
  <si>
    <t>B60 (V)</t>
  </si>
  <si>
    <t>B141 (V)</t>
  </si>
  <si>
    <t>B43.8 (V)</t>
  </si>
  <si>
    <t>4.5 (J)</t>
  </si>
  <si>
    <t>5.5 (J)</t>
  </si>
  <si>
    <t>A50 (J)</t>
  </si>
  <si>
    <t>A49.6 (J)</t>
  </si>
  <si>
    <t>B50 (J)</t>
  </si>
  <si>
    <t>B60 (J)</t>
  </si>
  <si>
    <t>B141 (J)</t>
  </si>
  <si>
    <t>B43.8 (J)</t>
  </si>
  <si>
    <t>a</t>
  </si>
  <si>
    <t>OK</t>
  </si>
  <si>
    <t>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</si>
</sst>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87" formatCode="_(* #,##0.00_);_(* \(#,##0.00\);_(* &quot;-&quot;??_);_(@_)"/>
    <numFmt numFmtId="188" formatCode="0.000"/>
  </numFmts>
  <fonts count="31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8"/>
      <name val="Tahoma"/>
      <family val="2"/>
      <scheme val="minor"/>
    </font>
    <font>
      <sz val="60"/>
      <color rgb="FFFFFFFF"/>
      <name val="Calibri"/>
      <family val="2"/>
    </font>
    <font>
      <b/>
      <sz val="72"/>
      <color rgb="FFFFFFFF"/>
      <name val="Calibri"/>
      <family val="2"/>
    </font>
    <font>
      <b/>
      <sz val="42"/>
      <color rgb="FFFFFFFF"/>
      <name val="Calibri"/>
      <family val="2"/>
    </font>
    <font>
      <sz val="11"/>
      <name val="Calibri"/>
      <family val="2"/>
    </font>
    <font>
      <b/>
      <sz val="13"/>
      <color rgb="FF2C2C76"/>
      <name val="Calibri"/>
      <family val="2"/>
    </font>
    <font>
      <b/>
      <sz val="11"/>
      <color rgb="FF2C2C76"/>
      <name val="Calibri"/>
      <family val="2"/>
    </font>
    <font>
      <sz val="11"/>
      <color theme="0"/>
      <name val="Tahoma"/>
      <family val="2"/>
      <charset val="222"/>
      <scheme val="minor"/>
    </font>
    <font>
      <b/>
      <sz val="48"/>
      <color theme="1"/>
      <name val="Tahoma"/>
      <family val="2"/>
      <scheme val="minor"/>
    </font>
    <font>
      <b/>
      <sz val="72"/>
      <color theme="1"/>
      <name val="Tahoma"/>
      <family val="2"/>
      <scheme val="minor"/>
    </font>
    <font>
      <b/>
      <sz val="26"/>
      <name val="Tahoma"/>
      <family val="2"/>
      <scheme val="major"/>
    </font>
    <font>
      <sz val="72"/>
      <color theme="1"/>
      <name val="Tahoma"/>
      <family val="2"/>
      <scheme val="minor"/>
    </font>
    <font>
      <b/>
      <sz val="11"/>
      <name val="Tahoma"/>
      <family val="2"/>
      <scheme val="minor"/>
    </font>
    <font>
      <sz val="11"/>
      <name val="Tahoma"/>
      <family val="2"/>
      <scheme val="minor"/>
    </font>
    <font>
      <sz val="20"/>
      <color theme="1"/>
      <name val="Tahoma"/>
      <family val="2"/>
      <scheme val="minor"/>
    </font>
    <font>
      <sz val="26"/>
      <color theme="1"/>
      <name val="Tahoma"/>
      <family val="2"/>
      <scheme val="minor"/>
    </font>
    <font>
      <sz val="24"/>
      <color theme="1"/>
      <name val="Tahoma"/>
      <family val="2"/>
      <scheme val="minor"/>
    </font>
    <font>
      <sz val="36"/>
      <color theme="1"/>
      <name val="Tahoma"/>
      <family val="2"/>
      <scheme val="minor"/>
    </font>
    <font>
      <sz val="48"/>
      <color theme="1"/>
      <name val="Tahoma"/>
      <family val="2"/>
      <scheme val="minor"/>
    </font>
    <font>
      <b/>
      <sz val="28"/>
      <color theme="1"/>
      <name val="Tahoma"/>
      <family val="2"/>
      <scheme val="minor"/>
    </font>
    <font>
      <b/>
      <sz val="16"/>
      <color theme="1"/>
      <name val="Tahoma"/>
      <family val="2"/>
      <scheme val="minor"/>
    </font>
    <font>
      <sz val="28"/>
      <color theme="1"/>
      <name val="Tahoma"/>
      <family val="2"/>
      <scheme val="minor"/>
    </font>
    <font>
      <sz val="22"/>
      <color theme="1"/>
      <name val="Tahoma"/>
      <family val="2"/>
      <scheme val="minor"/>
    </font>
    <font>
      <b/>
      <sz val="60"/>
      <color theme="1"/>
      <name val="Tahoma"/>
      <family val="2"/>
      <scheme val="minor"/>
    </font>
    <font>
      <sz val="9"/>
      <color indexed="81"/>
      <name val="Tahoma"/>
      <charset val="222"/>
    </font>
    <font>
      <b/>
      <sz val="9"/>
      <color indexed="81"/>
      <name val="Tahoma"/>
      <charset val="222"/>
    </font>
    <font>
      <b/>
      <sz val="18"/>
      <color theme="1"/>
      <name val="Tahoma"/>
      <family val="2"/>
      <scheme val="minor"/>
    </font>
    <font>
      <b/>
      <sz val="36"/>
      <color theme="1"/>
      <name val="Tahoma"/>
      <family val="2"/>
      <scheme val="minor"/>
    </font>
    <font>
      <b/>
      <sz val="24"/>
      <color theme="1"/>
      <name val="Tahoma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2DCFD"/>
      </left>
      <right style="thin">
        <color rgb="FFC2DCFD"/>
      </right>
      <top/>
      <bottom style="thin">
        <color rgb="FFFFFFFF"/>
      </bottom>
      <diagonal/>
    </border>
    <border>
      <left style="thin">
        <color rgb="FFC2DCFD"/>
      </left>
      <right/>
      <top/>
      <bottom style="thin">
        <color rgb="FFFFFFFF"/>
      </bottom>
      <diagonal/>
    </border>
    <border>
      <left/>
      <right style="thin">
        <color rgb="FFC2DCFD"/>
      </right>
      <top/>
      <bottom/>
      <diagonal/>
    </border>
    <border>
      <left style="thin">
        <color rgb="FFC2DCFD"/>
      </left>
      <right style="thin">
        <color rgb="FFC2DCFD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87" fontId="1" fillId="0" borderId="0" applyFont="0" applyFill="0" applyBorder="0" applyAlignment="0" applyProtection="0"/>
    <xf numFmtId="0" fontId="9" fillId="3" borderId="0" applyNumberFormat="0" applyBorder="0" applyAlignment="0" applyProtection="0"/>
  </cellStyleXfs>
  <cellXfs count="92">
    <xf numFmtId="0" fontId="0" fillId="0" borderId="0" xfId="0"/>
    <xf numFmtId="0" fontId="0" fillId="0" borderId="0" xfId="0" applyAlignment="1">
      <alignment horizontal="center"/>
    </xf>
    <xf numFmtId="188" fontId="0" fillId="0" borderId="0" xfId="1" applyNumberFormat="1" applyFont="1" applyAlignment="1">
      <alignment horizontal="center"/>
    </xf>
    <xf numFmtId="188" fontId="0" fillId="0" borderId="0" xfId="0" applyNumberFormat="1"/>
    <xf numFmtId="0" fontId="9" fillId="3" borderId="0" xfId="2" applyAlignment="1">
      <alignment horizontal="center" vertical="center"/>
    </xf>
    <xf numFmtId="188" fontId="9" fillId="3" borderId="0" xfId="2" applyNumberFormat="1" applyAlignment="1">
      <alignment horizontal="center" vertical="center"/>
    </xf>
    <xf numFmtId="0" fontId="0" fillId="2" borderId="0" xfId="0" applyFill="1"/>
    <xf numFmtId="0" fontId="8" fillId="4" borderId="0" xfId="0" applyFont="1" applyFill="1"/>
    <xf numFmtId="0" fontId="0" fillId="4" borderId="0" xfId="0" applyFill="1"/>
    <xf numFmtId="0" fontId="8" fillId="2" borderId="0" xfId="0" applyFont="1" applyFill="1"/>
    <xf numFmtId="0" fontId="3" fillId="5" borderId="0" xfId="0" applyFont="1" applyFill="1" applyAlignment="1">
      <alignment horizontal="left"/>
    </xf>
    <xf numFmtId="0" fontId="4" fillId="5" borderId="0" xfId="0" applyFont="1" applyFill="1" applyAlignment="1">
      <alignment horizontal="left"/>
    </xf>
    <xf numFmtId="0" fontId="5" fillId="5" borderId="0" xfId="0" applyFont="1" applyFill="1" applyAlignment="1">
      <alignment horizontal="left"/>
    </xf>
    <xf numFmtId="0" fontId="6" fillId="5" borderId="0" xfId="0" applyFont="1" applyFill="1"/>
    <xf numFmtId="0" fontId="0" fillId="5" borderId="0" xfId="0" applyFill="1"/>
    <xf numFmtId="0" fontId="7" fillId="4" borderId="4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0" fontId="7" fillId="4" borderId="5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left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22" fontId="15" fillId="0" borderId="0" xfId="0" applyNumberFormat="1" applyFont="1" applyAlignment="1">
      <alignment horizontal="right" vertical="center"/>
    </xf>
    <xf numFmtId="22" fontId="15" fillId="0" borderId="0" xfId="0" applyNumberFormat="1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2" fontId="15" fillId="0" borderId="0" xfId="0" applyNumberFormat="1" applyFont="1" applyAlignment="1">
      <alignment horizontal="right" vertical="center"/>
    </xf>
    <xf numFmtId="2" fontId="15" fillId="0" borderId="0" xfId="0" applyNumberFormat="1" applyFont="1" applyAlignment="1">
      <alignment horizontal="right"/>
    </xf>
    <xf numFmtId="188" fontId="15" fillId="0" borderId="0" xfId="0" applyNumberFormat="1" applyFont="1" applyAlignment="1">
      <alignment horizontal="right" vertical="center"/>
    </xf>
    <xf numFmtId="188" fontId="15" fillId="0" borderId="0" xfId="0" applyNumberFormat="1" applyFont="1" applyAlignment="1">
      <alignment horizontal="right"/>
    </xf>
    <xf numFmtId="0" fontId="16" fillId="0" borderId="0" xfId="0" applyFont="1" applyAlignment="1">
      <alignment vertical="center"/>
    </xf>
    <xf numFmtId="188" fontId="18" fillId="0" borderId="0" xfId="1" applyNumberFormat="1" applyFont="1" applyAlignment="1">
      <alignment vertical="center"/>
    </xf>
    <xf numFmtId="0" fontId="17" fillId="0" borderId="0" xfId="0" applyFont="1" applyAlignment="1">
      <alignment vertical="center"/>
    </xf>
    <xf numFmtId="188" fontId="0" fillId="0" borderId="0" xfId="0" applyNumberFormat="1" applyAlignment="1">
      <alignment horizontal="center"/>
    </xf>
    <xf numFmtId="188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4" fillId="5" borderId="6" xfId="0" applyFont="1" applyFill="1" applyBorder="1" applyAlignment="1">
      <alignment horizontal="left"/>
    </xf>
    <xf numFmtId="0" fontId="7" fillId="7" borderId="0" xfId="0" applyFont="1" applyFill="1" applyAlignment="1">
      <alignment horizontal="left"/>
    </xf>
    <xf numFmtId="0" fontId="7" fillId="7" borderId="8" xfId="0" applyFont="1" applyFill="1" applyBorder="1" applyAlignment="1">
      <alignment horizontal="left"/>
    </xf>
    <xf numFmtId="0" fontId="0" fillId="7" borderId="0" xfId="0" applyFill="1"/>
    <xf numFmtId="0" fontId="0" fillId="0" borderId="8" xfId="0" applyBorder="1"/>
    <xf numFmtId="0" fontId="10" fillId="0" borderId="0" xfId="0" applyFont="1" applyAlignment="1">
      <alignment horizontal="center" vertical="center"/>
    </xf>
    <xf numFmtId="0" fontId="20" fillId="0" borderId="0" xfId="0" applyFont="1"/>
    <xf numFmtId="0" fontId="13" fillId="0" borderId="0" xfId="0" applyFont="1"/>
    <xf numFmtId="0" fontId="13" fillId="7" borderId="0" xfId="0" applyFont="1" applyFill="1"/>
    <xf numFmtId="0" fontId="13" fillId="0" borderId="8" xfId="0" applyFont="1" applyBorder="1"/>
    <xf numFmtId="0" fontId="22" fillId="0" borderId="0" xfId="0" applyFont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0" fillId="2" borderId="0" xfId="0" applyFill="1" applyAlignment="1" applyProtection="1">
      <alignment vertical="center"/>
      <protection locked="0"/>
    </xf>
    <xf numFmtId="188" fontId="23" fillId="0" borderId="0" xfId="0" applyNumberFormat="1" applyFont="1" applyAlignment="1">
      <alignment vertical="center"/>
    </xf>
    <xf numFmtId="0" fontId="30" fillId="6" borderId="1" xfId="0" applyFont="1" applyFill="1" applyBorder="1" applyAlignment="1" applyProtection="1">
      <alignment vertical="center"/>
      <protection locked="0"/>
    </xf>
    <xf numFmtId="0" fontId="30" fillId="2" borderId="1" xfId="0" applyFont="1" applyFill="1" applyBorder="1" applyAlignment="1" applyProtection="1">
      <alignment vertical="center"/>
      <protection locked="0"/>
    </xf>
    <xf numFmtId="0" fontId="28" fillId="6" borderId="6" xfId="0" applyFont="1" applyFill="1" applyBorder="1" applyAlignment="1">
      <alignment horizontal="center" vertical="center"/>
    </xf>
    <xf numFmtId="0" fontId="28" fillId="6" borderId="7" xfId="0" applyFont="1" applyFill="1" applyBorder="1" applyAlignment="1">
      <alignment horizontal="center" vertical="center"/>
    </xf>
    <xf numFmtId="188" fontId="29" fillId="0" borderId="11" xfId="0" applyNumberFormat="1" applyFont="1" applyBorder="1" applyAlignment="1">
      <alignment horizontal="center" vertical="center"/>
    </xf>
    <xf numFmtId="188" fontId="29" fillId="0" borderId="13" xfId="0" applyNumberFormat="1" applyFont="1" applyBorder="1" applyAlignment="1">
      <alignment horizontal="center" vertical="center"/>
    </xf>
    <xf numFmtId="188" fontId="29" fillId="0" borderId="12" xfId="0" applyNumberFormat="1" applyFont="1" applyBorder="1" applyAlignment="1">
      <alignment horizontal="center" vertical="center"/>
    </xf>
    <xf numFmtId="188" fontId="29" fillId="0" borderId="14" xfId="0" applyNumberFormat="1" applyFont="1" applyBorder="1" applyAlignment="1">
      <alignment horizontal="center" vertical="center"/>
    </xf>
    <xf numFmtId="188" fontId="29" fillId="0" borderId="17" xfId="0" applyNumberFormat="1" applyFont="1" applyBorder="1" applyAlignment="1">
      <alignment horizontal="center" vertical="center"/>
    </xf>
    <xf numFmtId="188" fontId="29" fillId="0" borderId="1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11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88" fontId="19" fillId="0" borderId="0" xfId="1" applyNumberFormat="1" applyFont="1" applyAlignment="1" applyProtection="1">
      <alignment horizontal="center" vertical="center"/>
    </xf>
    <xf numFmtId="0" fontId="10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25" fillId="0" borderId="0" xfId="0" applyFont="1" applyAlignment="1">
      <alignment horizontal="center" vertical="center"/>
    </xf>
    <xf numFmtId="188" fontId="19" fillId="0" borderId="0" xfId="1" applyNumberFormat="1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</cellXfs>
  <cellStyles count="3">
    <cellStyle name="Accent4" xfId="2" builtinId="41"/>
    <cellStyle name="Comma" xfId="1" builtinId="3"/>
    <cellStyle name="Normal" xfId="0" builtinId="0"/>
  </cellStyles>
  <dxfs count="1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88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minor"/>
      </font>
      <numFmt numFmtId="188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10.png"/><Relationship Id="rId3" Type="http://schemas.openxmlformats.org/officeDocument/2006/relationships/image" Target="../media/image3.emf"/><Relationship Id="rId7" Type="http://schemas.openxmlformats.org/officeDocument/2006/relationships/image" Target="../media/image7.png"/><Relationship Id="rId12" Type="http://schemas.microsoft.com/office/2007/relationships/hdphoto" Target="../media/hdphoto3.wdp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emf"/><Relationship Id="rId11" Type="http://schemas.openxmlformats.org/officeDocument/2006/relationships/image" Target="../media/image9.png"/><Relationship Id="rId5" Type="http://schemas.openxmlformats.org/officeDocument/2006/relationships/image" Target="../media/image5.emf"/><Relationship Id="rId10" Type="http://schemas.microsoft.com/office/2007/relationships/hdphoto" Target="../media/hdphoto2.wdp"/><Relationship Id="rId4" Type="http://schemas.openxmlformats.org/officeDocument/2006/relationships/image" Target="../media/image4.emf"/><Relationship Id="rId9" Type="http://schemas.openxmlformats.org/officeDocument/2006/relationships/image" Target="../media/image8.png"/><Relationship Id="rId14" Type="http://schemas.microsoft.com/office/2007/relationships/hdphoto" Target="../media/hdphoto4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4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185921</xdr:colOff>
      <xdr:row>7</xdr:row>
      <xdr:rowOff>50618</xdr:rowOff>
    </xdr:from>
    <xdr:to>
      <xdr:col>8</xdr:col>
      <xdr:colOff>499064</xdr:colOff>
      <xdr:row>14</xdr:row>
      <xdr:rowOff>212635</xdr:rowOff>
    </xdr:to>
    <xdr:sp macro="[0]!resetAll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250898" y="4729298"/>
          <a:ext cx="3600000" cy="1480277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4800" b="1">
              <a:latin typeface="Comic Sans MS" panose="030F0702030302020204" pitchFamily="66" charset="0"/>
            </a:rPr>
            <a:t>Reset</a:t>
          </a:r>
        </a:p>
      </xdr:txBody>
    </xdr:sp>
    <xdr:clientData/>
  </xdr:twoCellAnchor>
  <xdr:twoCellAnchor editAs="oneCell">
    <xdr:from>
      <xdr:col>0</xdr:col>
      <xdr:colOff>294409</xdr:colOff>
      <xdr:row>0</xdr:row>
      <xdr:rowOff>78280</xdr:rowOff>
    </xdr:from>
    <xdr:to>
      <xdr:col>6</xdr:col>
      <xdr:colOff>627156</xdr:colOff>
      <xdr:row>2</xdr:row>
      <xdr:rowOff>31076</xdr:rowOff>
    </xdr:to>
    <xdr:pic>
      <xdr:nvPicPr>
        <xdr:cNvPr id="8" name="รูปภาพ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78280"/>
          <a:ext cx="5246914" cy="1278676"/>
        </a:xfrm>
        <a:prstGeom prst="rect">
          <a:avLst/>
        </a:prstGeom>
      </xdr:spPr>
    </xdr:pic>
    <xdr:clientData/>
  </xdr:twoCellAnchor>
  <xdr:twoCellAnchor editAs="oneCell">
    <xdr:from>
      <xdr:col>13</xdr:col>
      <xdr:colOff>48444</xdr:colOff>
      <xdr:row>0</xdr:row>
      <xdr:rowOff>367635</xdr:rowOff>
    </xdr:from>
    <xdr:to>
      <xdr:col>16</xdr:col>
      <xdr:colOff>2478655</xdr:colOff>
      <xdr:row>2</xdr:row>
      <xdr:rowOff>32584</xdr:rowOff>
    </xdr:to>
    <xdr:pic>
      <xdr:nvPicPr>
        <xdr:cNvPr id="9" name="รูปภาพ 1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963844" y="367635"/>
          <a:ext cx="4719728" cy="990829"/>
        </a:xfrm>
        <a:prstGeom prst="rect">
          <a:avLst/>
        </a:prstGeom>
      </xdr:spPr>
    </xdr:pic>
    <xdr:clientData/>
  </xdr:twoCellAnchor>
  <xdr:twoCellAnchor editAs="oneCell">
    <xdr:from>
      <xdr:col>21</xdr:col>
      <xdr:colOff>126769</xdr:colOff>
      <xdr:row>0</xdr:row>
      <xdr:rowOff>60960</xdr:rowOff>
    </xdr:from>
    <xdr:to>
      <xdr:col>25</xdr:col>
      <xdr:colOff>991059</xdr:colOff>
      <xdr:row>2</xdr:row>
      <xdr:rowOff>13756</xdr:rowOff>
    </xdr:to>
    <xdr:pic>
      <xdr:nvPicPr>
        <xdr:cNvPr id="3" name="รูปภาพ 8">
          <a:extLst>
            <a:ext uri="{FF2B5EF4-FFF2-40B4-BE49-F238E27FC236}">
              <a16:creationId xmlns:a16="http://schemas.microsoft.com/office/drawing/2014/main" id="{A56133F7-99D7-4BA0-B349-16471225C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569" y="60960"/>
          <a:ext cx="5246914" cy="1278676"/>
        </a:xfrm>
        <a:prstGeom prst="rect">
          <a:avLst/>
        </a:prstGeom>
      </xdr:spPr>
    </xdr:pic>
    <xdr:clientData/>
  </xdr:twoCellAnchor>
  <xdr:twoCellAnchor editAs="oneCell">
    <xdr:from>
      <xdr:col>34</xdr:col>
      <xdr:colOff>482784</xdr:colOff>
      <xdr:row>0</xdr:row>
      <xdr:rowOff>367635</xdr:rowOff>
    </xdr:from>
    <xdr:to>
      <xdr:col>37</xdr:col>
      <xdr:colOff>9749</xdr:colOff>
      <xdr:row>2</xdr:row>
      <xdr:rowOff>32584</xdr:rowOff>
    </xdr:to>
    <xdr:pic>
      <xdr:nvPicPr>
        <xdr:cNvPr id="4" name="รูปภาพ 10">
          <a:extLst>
            <a:ext uri="{FF2B5EF4-FFF2-40B4-BE49-F238E27FC236}">
              <a16:creationId xmlns:a16="http://schemas.microsoft.com/office/drawing/2014/main" id="{D091421D-D3A6-422C-927A-F8E5AD049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23799984" y="367635"/>
          <a:ext cx="4719728" cy="990829"/>
        </a:xfrm>
        <a:prstGeom prst="rect">
          <a:avLst/>
        </a:prstGeom>
      </xdr:spPr>
    </xdr:pic>
    <xdr:clientData/>
  </xdr:twoCellAnchor>
  <xdr:twoCellAnchor>
    <xdr:from>
      <xdr:col>2</xdr:col>
      <xdr:colOff>69850</xdr:colOff>
      <xdr:row>17</xdr:row>
      <xdr:rowOff>875032</xdr:rowOff>
    </xdr:from>
    <xdr:to>
      <xdr:col>5</xdr:col>
      <xdr:colOff>648970</xdr:colOff>
      <xdr:row>27</xdr:row>
      <xdr:rowOff>73270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1C6AA52-B18B-F16E-E3A5-8D5BC02A6DB4}"/>
            </a:ext>
          </a:extLst>
        </xdr:cNvPr>
        <xdr:cNvGrpSpPr/>
      </xdr:nvGrpSpPr>
      <xdr:grpSpPr>
        <a:xfrm>
          <a:off x="1571869" y="7579167"/>
          <a:ext cx="2997005" cy="2678526"/>
          <a:chOff x="1094195" y="7478432"/>
          <a:chExt cx="2636520" cy="2096998"/>
        </a:xfrm>
      </xdr:grpSpPr>
      <xdr:sp macro="" textlink="">
        <xdr:nvSpPr>
          <xdr:cNvPr id="18" name="สี่เหลี่ยมผืนผ้า: มุมมน 32">
            <a:extLst>
              <a:ext uri="{FF2B5EF4-FFF2-40B4-BE49-F238E27FC236}">
                <a16:creationId xmlns:a16="http://schemas.microsoft.com/office/drawing/2014/main" id="{63149FB5-DCFF-41C9-B218-4A59621531AD}"/>
              </a:ext>
            </a:extLst>
          </xdr:cNvPr>
          <xdr:cNvSpPr>
            <a:spLocks noChangeAspect="1"/>
          </xdr:cNvSpPr>
        </xdr:nvSpPr>
        <xdr:spPr>
          <a:xfrm>
            <a:off x="1146889" y="7623810"/>
            <a:ext cx="2437457" cy="195162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2" name="Picture 21">
                <a:extLst>
                  <a:ext uri="{FF2B5EF4-FFF2-40B4-BE49-F238E27FC236}">
                    <a16:creationId xmlns:a16="http://schemas.microsoft.com/office/drawing/2014/main" id="{3BA8EDFB-F94F-E6DF-3A42-E34C12ACB12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$AX$7" spid="_x0000_s20540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1094195" y="7478432"/>
                <a:ext cx="2636520" cy="203454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10</xdr:col>
      <xdr:colOff>49968</xdr:colOff>
      <xdr:row>17</xdr:row>
      <xdr:rowOff>652145</xdr:rowOff>
    </xdr:from>
    <xdr:to>
      <xdr:col>14</xdr:col>
      <xdr:colOff>-1</xdr:colOff>
      <xdr:row>28</xdr:row>
      <xdr:rowOff>73269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752CCBF-13C3-5679-DA5C-D03344553F84}"/>
            </a:ext>
          </a:extLst>
        </xdr:cNvPr>
        <xdr:cNvGrpSpPr/>
      </xdr:nvGrpSpPr>
      <xdr:grpSpPr>
        <a:xfrm>
          <a:off x="8695737" y="7356280"/>
          <a:ext cx="3173877" cy="3084585"/>
          <a:chOff x="6780763" y="7301928"/>
          <a:chExt cx="2456358" cy="2374195"/>
        </a:xfrm>
      </xdr:grpSpPr>
      <xdr:sp macro="" textlink="">
        <xdr:nvSpPr>
          <xdr:cNvPr id="20" name="สี่เหลี่ยมผืนผ้า: มุมมน 32">
            <a:extLst>
              <a:ext uri="{FF2B5EF4-FFF2-40B4-BE49-F238E27FC236}">
                <a16:creationId xmlns:a16="http://schemas.microsoft.com/office/drawing/2014/main" id="{636A1BB7-72FD-D785-5257-F24D5C623377}"/>
              </a:ext>
            </a:extLst>
          </xdr:cNvPr>
          <xdr:cNvSpPr>
            <a:spLocks noChangeAspect="1"/>
          </xdr:cNvSpPr>
        </xdr:nvSpPr>
        <xdr:spPr>
          <a:xfrm>
            <a:off x="6926256" y="7639050"/>
            <a:ext cx="2127123" cy="195162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3" name="Picture 22">
                <a:extLst>
                  <a:ext uri="{FF2B5EF4-FFF2-40B4-BE49-F238E27FC236}">
                    <a16:creationId xmlns:a16="http://schemas.microsoft.com/office/drawing/2014/main" id="{6E5C9CE4-17A4-078E-B1C1-177F29F0ECF1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$AX$12" spid="_x0000_s20541"/>
                  </a:ext>
                </a:extLst>
              </xdr:cNvPicPr>
            </xdr:nvPicPr>
            <xdr:blipFill>
              <a:blip xmlns:r="http://schemas.openxmlformats.org/officeDocument/2006/relationships" r:embed="rId4"/>
              <a:srcRect/>
              <a:stretch>
                <a:fillRect/>
              </a:stretch>
            </xdr:blipFill>
            <xdr:spPr bwMode="auto">
              <a:xfrm>
                <a:off x="6780763" y="7301928"/>
                <a:ext cx="2456358" cy="237419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32</xdr:col>
      <xdr:colOff>976287</xdr:colOff>
      <xdr:row>36</xdr:row>
      <xdr:rowOff>27518</xdr:rowOff>
    </xdr:from>
    <xdr:to>
      <xdr:col>35</xdr:col>
      <xdr:colOff>71002</xdr:colOff>
      <xdr:row>73</xdr:row>
      <xdr:rowOff>5484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82922200-C26F-5DC6-9A60-41AF4991F103}"/>
            </a:ext>
          </a:extLst>
        </xdr:cNvPr>
        <xdr:cNvGrpSpPr/>
      </xdr:nvGrpSpPr>
      <xdr:grpSpPr>
        <a:xfrm>
          <a:off x="31529556" y="12300114"/>
          <a:ext cx="2648273" cy="7194985"/>
          <a:chOff x="33326259" y="10935578"/>
          <a:chExt cx="2833639" cy="7113870"/>
        </a:xfrm>
      </xdr:grpSpPr>
      <xdr:sp macro="" textlink="">
        <xdr:nvSpPr>
          <xdr:cNvPr id="25" name="สี่เหลี่ยมผืนผ้า: มุมมน 39">
            <a:extLst>
              <a:ext uri="{FF2B5EF4-FFF2-40B4-BE49-F238E27FC236}">
                <a16:creationId xmlns:a16="http://schemas.microsoft.com/office/drawing/2014/main" id="{E1249D5F-D226-4AEC-8DF5-DF020F260C85}"/>
              </a:ext>
            </a:extLst>
          </xdr:cNvPr>
          <xdr:cNvSpPr>
            <a:spLocks noChangeAspect="1"/>
          </xdr:cNvSpPr>
        </xdr:nvSpPr>
        <xdr:spPr>
          <a:xfrm>
            <a:off x="33332993" y="10935578"/>
            <a:ext cx="2826905" cy="252315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02" name="Picture 101">
                <a:extLst>
                  <a:ext uri="{FF2B5EF4-FFF2-40B4-BE49-F238E27FC236}">
                    <a16:creationId xmlns:a16="http://schemas.microsoft.com/office/drawing/2014/main" id="{D90E27AE-D940-6440-DA16-B99ABF4F98B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Airgauge!$B$57" spid="_x0000_s20542"/>
                  </a:ext>
                </a:extLst>
              </xdr:cNvPicPr>
            </xdr:nvPicPr>
            <xdr:blipFill rotWithShape="1">
              <a:blip xmlns:r="http://schemas.openxmlformats.org/officeDocument/2006/relationships" r:embed="rId5"/>
              <a:srcRect l="18257" t="18591" r="18458" b="5455"/>
              <a:stretch>
                <a:fillRect/>
              </a:stretch>
            </xdr:blipFill>
            <xdr:spPr bwMode="auto">
              <a:xfrm>
                <a:off x="33705226" y="11265606"/>
                <a:ext cx="2145970" cy="1837992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">
        <xdr:nvSpPr>
          <xdr:cNvPr id="28" name="สี่เหลี่ยมผืนผ้า: มุมมน 39">
            <a:extLst>
              <a:ext uri="{FF2B5EF4-FFF2-40B4-BE49-F238E27FC236}">
                <a16:creationId xmlns:a16="http://schemas.microsoft.com/office/drawing/2014/main" id="{46B9B260-3C18-4E83-9A3A-F94544AD62F4}"/>
              </a:ext>
            </a:extLst>
          </xdr:cNvPr>
          <xdr:cNvSpPr>
            <a:spLocks noChangeAspect="1"/>
          </xdr:cNvSpPr>
        </xdr:nvSpPr>
        <xdr:spPr>
          <a:xfrm>
            <a:off x="33326259" y="15474907"/>
            <a:ext cx="2827718" cy="2574541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08" name="Picture 107">
                <a:extLst>
                  <a:ext uri="{FF2B5EF4-FFF2-40B4-BE49-F238E27FC236}">
                    <a16:creationId xmlns:a16="http://schemas.microsoft.com/office/drawing/2014/main" id="{F28C9AEB-3718-EFEF-D7D9-2314E413A203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Airgauge!$B$66" spid="_x0000_s20543"/>
                  </a:ext>
                </a:extLst>
              </xdr:cNvPicPr>
            </xdr:nvPicPr>
            <xdr:blipFill rotWithShape="1">
              <a:blip xmlns:r="http://schemas.openxmlformats.org/officeDocument/2006/relationships" r:embed="rId6"/>
              <a:srcRect l="18841" t="18430" r="18781" b="5116"/>
              <a:stretch>
                <a:fillRect/>
              </a:stretch>
            </xdr:blipFill>
            <xdr:spPr bwMode="auto">
              <a:xfrm>
                <a:off x="33751044" y="15878250"/>
                <a:ext cx="1993746" cy="1837992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22</xdr:col>
      <xdr:colOff>1114224</xdr:colOff>
      <xdr:row>36</xdr:row>
      <xdr:rowOff>71339</xdr:rowOff>
    </xdr:from>
    <xdr:to>
      <xdr:col>25</xdr:col>
      <xdr:colOff>109904</xdr:colOff>
      <xdr:row>72</xdr:row>
      <xdr:rowOff>180940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9E3771E-CC70-35DE-69C8-09B4D1B5E6DA}"/>
            </a:ext>
          </a:extLst>
        </xdr:cNvPr>
        <xdr:cNvGrpSpPr/>
      </xdr:nvGrpSpPr>
      <xdr:grpSpPr>
        <a:xfrm>
          <a:off x="20127589" y="12343935"/>
          <a:ext cx="2732411" cy="7143447"/>
          <a:chOff x="16826224" y="10975331"/>
          <a:chExt cx="2752551" cy="7039380"/>
        </a:xfrm>
      </xdr:grpSpPr>
      <xdr:sp macro="" textlink="">
        <xdr:nvSpPr>
          <xdr:cNvPr id="24" name="สี่เหลี่ยมผืนผ้า: มุมมน 39">
            <a:extLst>
              <a:ext uri="{FF2B5EF4-FFF2-40B4-BE49-F238E27FC236}">
                <a16:creationId xmlns:a16="http://schemas.microsoft.com/office/drawing/2014/main" id="{36A7FB12-CE43-4278-817F-4CF80BFCBD22}"/>
              </a:ext>
            </a:extLst>
          </xdr:cNvPr>
          <xdr:cNvSpPr>
            <a:spLocks noChangeAspect="1"/>
          </xdr:cNvSpPr>
        </xdr:nvSpPr>
        <xdr:spPr>
          <a:xfrm>
            <a:off x="16826224" y="10975331"/>
            <a:ext cx="2737592" cy="2471223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xdr:sp macro="" textlink="">
        <xdr:nvSpPr>
          <xdr:cNvPr id="26" name="สี่เหลี่ยมผืนผ้า: มุมมน 39">
            <a:extLst>
              <a:ext uri="{FF2B5EF4-FFF2-40B4-BE49-F238E27FC236}">
                <a16:creationId xmlns:a16="http://schemas.microsoft.com/office/drawing/2014/main" id="{8BBB0573-EF5F-41A7-BC12-4B3F52D7E95A}"/>
              </a:ext>
            </a:extLst>
          </xdr:cNvPr>
          <xdr:cNvSpPr>
            <a:spLocks noChangeAspect="1"/>
          </xdr:cNvSpPr>
        </xdr:nvSpPr>
        <xdr:spPr>
          <a:xfrm>
            <a:off x="16841183" y="15542633"/>
            <a:ext cx="2737592" cy="2472078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99" name="Picture 98">
                <a:extLst>
                  <a:ext uri="{FF2B5EF4-FFF2-40B4-BE49-F238E27FC236}">
                    <a16:creationId xmlns:a16="http://schemas.microsoft.com/office/drawing/2014/main" id="{F42E3659-9FEF-32D7-3279-741B1D5A8F54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Airgauge!$B$51" spid="_x0000_s20544"/>
                  </a:ext>
                </a:extLst>
              </xdr:cNvPicPr>
            </xdr:nvPicPr>
            <xdr:blipFill rotWithShape="1">
              <a:blip xmlns:r="http://schemas.openxmlformats.org/officeDocument/2006/relationships" r:embed="rId5"/>
              <a:srcRect l="19805" t="14793" r="18357" b="3024"/>
              <a:stretch>
                <a:fillRect/>
              </a:stretch>
            </xdr:blipFill>
            <xdr:spPr bwMode="auto">
              <a:xfrm>
                <a:off x="17280772" y="11224860"/>
                <a:ext cx="1912103" cy="1931042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104" name="Picture 103">
                <a:extLst>
                  <a:ext uri="{FF2B5EF4-FFF2-40B4-BE49-F238E27FC236}">
                    <a16:creationId xmlns:a16="http://schemas.microsoft.com/office/drawing/2014/main" id="{5D72C9E6-F916-842B-6CFA-8AF215BD2774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Airgauge!$B$60" spid="_x0000_s20545"/>
                  </a:ext>
                </a:extLst>
              </xdr:cNvPicPr>
            </xdr:nvPicPr>
            <xdr:blipFill rotWithShape="1">
              <a:blip xmlns:r="http://schemas.openxmlformats.org/officeDocument/2006/relationships" r:embed="rId5"/>
              <a:srcRect l="16209" t="17220" r="17852" b="5410"/>
              <a:stretch>
                <a:fillRect/>
              </a:stretch>
            </xdr:blipFill>
            <xdr:spPr bwMode="auto">
              <a:xfrm>
                <a:off x="17129611" y="15801415"/>
                <a:ext cx="2160000" cy="1939984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27</xdr:col>
      <xdr:colOff>952500</xdr:colOff>
      <xdr:row>36</xdr:row>
      <xdr:rowOff>68981</xdr:rowOff>
    </xdr:from>
    <xdr:to>
      <xdr:col>30</xdr:col>
      <xdr:colOff>166657</xdr:colOff>
      <xdr:row>72</xdr:row>
      <xdr:rowOff>181164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DED0E8B-240F-862E-96A2-72357D133177}"/>
            </a:ext>
          </a:extLst>
        </xdr:cNvPr>
        <xdr:cNvGrpSpPr/>
      </xdr:nvGrpSpPr>
      <xdr:grpSpPr>
        <a:xfrm>
          <a:off x="25827404" y="12341577"/>
          <a:ext cx="2767715" cy="7146029"/>
          <a:chOff x="25038249" y="10968575"/>
          <a:chExt cx="2859843" cy="7047206"/>
        </a:xfrm>
      </xdr:grpSpPr>
      <xdr:sp macro="" textlink="">
        <xdr:nvSpPr>
          <xdr:cNvPr id="91" name="สี่เหลี่ยมผืนผ้า: มุมมน 39">
            <a:extLst>
              <a:ext uri="{FF2B5EF4-FFF2-40B4-BE49-F238E27FC236}">
                <a16:creationId xmlns:a16="http://schemas.microsoft.com/office/drawing/2014/main" id="{18457DFC-80E8-1CD8-0AA7-63C4E3E8B3F7}"/>
              </a:ext>
            </a:extLst>
          </xdr:cNvPr>
          <xdr:cNvSpPr>
            <a:spLocks noChangeAspect="1"/>
          </xdr:cNvSpPr>
        </xdr:nvSpPr>
        <xdr:spPr>
          <a:xfrm>
            <a:off x="25038249" y="10968575"/>
            <a:ext cx="2786491" cy="247656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00" name="Picture 99">
                <a:extLst>
                  <a:ext uri="{FF2B5EF4-FFF2-40B4-BE49-F238E27FC236}">
                    <a16:creationId xmlns:a16="http://schemas.microsoft.com/office/drawing/2014/main" id="{1DE70990-829B-4E35-71D0-71405C3A81D5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Airgauge!$B$54" spid="_x0000_s20546"/>
                  </a:ext>
                </a:extLst>
              </xdr:cNvPicPr>
            </xdr:nvPicPr>
            <xdr:blipFill rotWithShape="1">
              <a:blip xmlns:r="http://schemas.openxmlformats.org/officeDocument/2006/relationships" r:embed="rId5"/>
              <a:srcRect l="18531" t="17916" r="19969" b="5936"/>
              <a:stretch>
                <a:fillRect/>
              </a:stretch>
            </xdr:blipFill>
            <xdr:spPr bwMode="auto">
              <a:xfrm>
                <a:off x="25481378" y="11284269"/>
                <a:ext cx="1952326" cy="183642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">
        <xdr:nvSpPr>
          <xdr:cNvPr id="27" name="สี่เหลี่ยมผืนผ้า: มุมมน 39">
            <a:extLst>
              <a:ext uri="{FF2B5EF4-FFF2-40B4-BE49-F238E27FC236}">
                <a16:creationId xmlns:a16="http://schemas.microsoft.com/office/drawing/2014/main" id="{A97A971C-E810-4DC8-9591-608E4D417547}"/>
              </a:ext>
            </a:extLst>
          </xdr:cNvPr>
          <xdr:cNvSpPr>
            <a:spLocks noChangeAspect="1"/>
          </xdr:cNvSpPr>
        </xdr:nvSpPr>
        <xdr:spPr>
          <a:xfrm>
            <a:off x="25062712" y="15518061"/>
            <a:ext cx="2835380" cy="249772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06" name="Picture 105">
                <a:extLst>
                  <a:ext uri="{FF2B5EF4-FFF2-40B4-BE49-F238E27FC236}">
                    <a16:creationId xmlns:a16="http://schemas.microsoft.com/office/drawing/2014/main" id="{5C8BC5F1-ED5B-95B6-BF43-8FDB2CB32013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Airgauge!$B$63" spid="_x0000_s20547"/>
                  </a:ext>
                </a:extLst>
              </xdr:cNvPicPr>
            </xdr:nvPicPr>
            <xdr:blipFill rotWithShape="1">
              <a:blip xmlns:r="http://schemas.openxmlformats.org/officeDocument/2006/relationships" r:embed="rId5"/>
              <a:srcRect l="18918" t="16171" r="19279" b="4796"/>
              <a:stretch>
                <a:fillRect/>
              </a:stretch>
            </xdr:blipFill>
            <xdr:spPr bwMode="auto">
              <a:xfrm>
                <a:off x="25499012" y="15788189"/>
                <a:ext cx="1959138" cy="1894219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 editAs="oneCell">
    <xdr:from>
      <xdr:col>0</xdr:col>
      <xdr:colOff>0</xdr:colOff>
      <xdr:row>33</xdr:row>
      <xdr:rowOff>69850</xdr:rowOff>
    </xdr:from>
    <xdr:to>
      <xdr:col>7</xdr:col>
      <xdr:colOff>1042700</xdr:colOff>
      <xdr:row>46</xdr:row>
      <xdr:rowOff>109904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9F06A2A-5098-0E6D-F11C-31CAE6573B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9901" b="93399" l="7974" r="89869">
                      <a14:foregroundMark x1="13884" y1="48185" x2="8818" y2="24752"/>
                      <a14:foregroundMark x1="8818" y1="24752" x2="20169" y2="11881"/>
                      <a14:foregroundMark x1="20169" y1="11881" x2="28049" y2="12541"/>
                      <a14:foregroundMark x1="28049" y1="12541" x2="11726" y2="21122"/>
                      <a14:foregroundMark x1="11726" y1="21122" x2="27674" y2="16172"/>
                      <a14:foregroundMark x1="27674" y1="16172" x2="11914" y2="15842"/>
                      <a14:foregroundMark x1="11914" y1="15842" x2="11069" y2="12871"/>
                      <a14:foregroundMark x1="8724" y1="36304" x2="8912" y2="47195"/>
                      <a14:foregroundMark x1="8630" y1="37954" x2="7974" y2="27063"/>
                      <a14:foregroundMark x1="8443" y1="26733" x2="8255" y2="25413"/>
                      <a14:foregroundMark x1="9099" y1="18812" x2="7974" y2="28383"/>
                      <a14:foregroundMark x1="10882" y1="12211" x2="20169" y2="14191"/>
                      <a14:foregroundMark x1="20169" y1="14191" x2="22514" y2="11881"/>
                      <a14:foregroundMark x1="20169" y1="12211" x2="9756" y2="12871"/>
                      <a14:foregroundMark x1="41276" y1="93399" x2="41276" y2="9339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164" r="10029"/>
        <a:stretch/>
      </xdr:blipFill>
      <xdr:spPr>
        <a:xfrm>
          <a:off x="0" y="11792927"/>
          <a:ext cx="6904238" cy="2421304"/>
        </a:xfrm>
        <a:prstGeom prst="rect">
          <a:avLst/>
        </a:prstGeom>
      </xdr:spPr>
    </xdr:pic>
    <xdr:clientData/>
  </xdr:twoCellAnchor>
  <xdr:twoCellAnchor editAs="oneCell">
    <xdr:from>
      <xdr:col>8</xdr:col>
      <xdr:colOff>487</xdr:colOff>
      <xdr:row>34</xdr:row>
      <xdr:rowOff>114299</xdr:rowOff>
    </xdr:from>
    <xdr:to>
      <xdr:col>16</xdr:col>
      <xdr:colOff>729852</xdr:colOff>
      <xdr:row>62</xdr:row>
      <xdr:rowOff>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6017778-B651-EA79-0A59-929AEEFE2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4688" b="94318" l="7700" r="87700">
                      <a14:foregroundMark x1="13991" y1="14631" x2="13991" y2="14631"/>
                      <a14:foregroundMark x1="83850" y1="14205" x2="83850" y2="14205"/>
                      <a14:foregroundMark x1="87700" y1="14631" x2="87700" y2="14631"/>
                      <a14:foregroundMark x1="9577" y1="6534" x2="9577" y2="6534"/>
                      <a14:foregroundMark x1="11925" y1="6534" x2="11925" y2="6534"/>
                      <a14:foregroundMark x1="10892" y1="7955" x2="10892" y2="7955"/>
                      <a14:foregroundMark x1="11174" y1="7813" x2="11174" y2="7813"/>
                      <a14:foregroundMark x1="17371" y1="6960" x2="17371" y2="6960"/>
                      <a14:foregroundMark x1="19061" y1="6676" x2="19061" y2="6676"/>
                      <a14:foregroundMark x1="19343" y1="6392" x2="19343" y2="6392"/>
                      <a14:foregroundMark x1="9296" y1="6392" x2="18310" y2="6250"/>
                      <a14:foregroundMark x1="18310" y1="6250" x2="9671" y2="5824"/>
                      <a14:foregroundMark x1="9671" y1="5824" x2="18404" y2="5824"/>
                      <a14:foregroundMark x1="18404" y1="5824" x2="25728" y2="5682"/>
                      <a14:foregroundMark x1="9390" y1="6392" x2="10516" y2="7955"/>
                      <a14:foregroundMark x1="9671" y1="7955" x2="9202" y2="7670"/>
                      <a14:foregroundMark x1="9296" y1="8807" x2="11549" y2="15341"/>
                      <a14:foregroundMark x1="8732" y1="18892" x2="9577" y2="5682"/>
                      <a14:foregroundMark x1="9577" y1="5682" x2="23380" y2="5540"/>
                      <a14:foregroundMark x1="23380" y1="5540" x2="7700" y2="7528"/>
                      <a14:foregroundMark x1="11362" y1="7955" x2="27700" y2="8097"/>
                      <a14:foregroundMark x1="8545" y1="5682" x2="19437" y2="5540"/>
                      <a14:foregroundMark x1="19437" y1="5540" x2="26103" y2="5540"/>
                      <a14:foregroundMark x1="8263" y1="5540" x2="26573" y2="5540"/>
                      <a14:foregroundMark x1="8075" y1="5540" x2="16526" y2="4830"/>
                      <a14:foregroundMark x1="16526" y1="4830" x2="26479" y2="5398"/>
                      <a14:foregroundMark x1="9014" y1="17472" x2="12488" y2="16051"/>
                      <a14:foregroundMark x1="8357" y1="13210" x2="8545" y2="11364"/>
                      <a14:foregroundMark x1="8826" y1="11222" x2="8826" y2="7813"/>
                      <a14:foregroundMark x1="9202" y1="17472" x2="9202" y2="19318"/>
                      <a14:foregroundMark x1="8545" y1="5256" x2="14742" y2="4688"/>
                      <a14:foregroundMark x1="48545" y1="94318" x2="48545" y2="9431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8642" t="4069" r="10734"/>
        <a:stretch>
          <a:fillRect/>
        </a:stretch>
      </xdr:blipFill>
      <xdr:spPr>
        <a:xfrm>
          <a:off x="7034333" y="12020549"/>
          <a:ext cx="6883981" cy="5454163"/>
        </a:xfrm>
        <a:prstGeom prst="rect">
          <a:avLst/>
        </a:prstGeom>
      </xdr:spPr>
    </xdr:pic>
    <xdr:clientData/>
  </xdr:twoCellAnchor>
  <xdr:twoCellAnchor editAs="oneCell">
    <xdr:from>
      <xdr:col>21</xdr:col>
      <xdr:colOff>328578</xdr:colOff>
      <xdr:row>4</xdr:row>
      <xdr:rowOff>322968</xdr:rowOff>
    </xdr:from>
    <xdr:to>
      <xdr:col>29</xdr:col>
      <xdr:colOff>109903</xdr:colOff>
      <xdr:row>12</xdr:row>
      <xdr:rowOff>67985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1D4629E-C90A-F441-2AE3-69C9DC572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7895" b="94079" l="12090" r="87348">
                      <a14:foregroundMark x1="15558" y1="44408" x2="15558" y2="44408"/>
                      <a14:foregroundMark x1="14246" y1="31579" x2="14246" y2="31579"/>
                      <a14:foregroundMark x1="13590" y1="9539" x2="31771" y2="9868"/>
                      <a14:foregroundMark x1="31771" y1="9868" x2="25961" y2="13158"/>
                      <a14:foregroundMark x1="25961" y1="13158" x2="33833" y2="12829"/>
                      <a14:foregroundMark x1="33833" y1="12829" x2="15089" y2="12500"/>
                      <a14:foregroundMark x1="15089" y1="12500" x2="22587" y2="7566"/>
                      <a14:foregroundMark x1="22587" y1="7566" x2="30647" y2="7895"/>
                      <a14:foregroundMark x1="30647" y1="7895" x2="39082" y2="20066"/>
                      <a14:foregroundMark x1="39082" y1="20066" x2="47610" y2="10526"/>
                      <a14:foregroundMark x1="47610" y1="10526" x2="62699" y2="13816"/>
                      <a14:foregroundMark x1="62699" y1="13816" x2="51265" y2="26316"/>
                      <a14:foregroundMark x1="51265" y1="26316" x2="46392" y2="18421"/>
                      <a14:foregroundMark x1="46392" y1="18421" x2="41893" y2="21711"/>
                      <a14:foregroundMark x1="41893" y1="21711" x2="52858" y2="23026"/>
                      <a14:foregroundMark x1="52858" y1="23026" x2="52484" y2="25658"/>
                      <a14:foregroundMark x1="34677" y1="15461" x2="24461" y2="3618"/>
                      <a14:foregroundMark x1="24461" y1="3618" x2="17151" y2="3618"/>
                      <a14:foregroundMark x1="17151" y1="3618" x2="12090" y2="8882"/>
                      <a14:foregroundMark x1="12090" y1="8882" x2="27085" y2="15461"/>
                      <a14:foregroundMark x1="27085" y1="15461" x2="32990" y2="14145"/>
                      <a14:foregroundMark x1="32990" y1="14145" x2="35614" y2="14145"/>
                      <a14:foregroundMark x1="16079" y1="78811" x2="20244" y2="71382"/>
                      <a14:foregroundMark x1="20244" y1="71382" x2="32521" y2="73355"/>
                      <a14:foregroundMark x1="32521" y1="73355" x2="38051" y2="71053"/>
                      <a14:foregroundMark x1="38051" y1="71053" x2="40862" y2="92763"/>
                      <a14:foregroundMark x1="40862" y1="92763" x2="40225" y2="92802"/>
                      <a14:foregroundMark x1="13683" y1="82895" x2="17432" y2="70395"/>
                      <a14:foregroundMark x1="17432" y1="70395" x2="39082" y2="73684"/>
                      <a14:foregroundMark x1="39082" y1="73684" x2="35989" y2="85526"/>
                      <a14:foregroundMark x1="35989" y1="85526" x2="13683" y2="83224"/>
                      <a14:foregroundMark x1="13683" y1="81250" x2="17245" y2="70724"/>
                      <a14:foregroundMark x1="17245" y1="70724" x2="13871" y2="81250"/>
                      <a14:foregroundMark x1="13871" y1="79605" x2="16682" y2="71053"/>
                      <a14:foregroundMark x1="14714" y1="77961" x2="15651" y2="76316"/>
                      <a14:foregroundMark x1="81443" y1="34868" x2="81443" y2="34868"/>
                      <a14:foregroundMark x1="87348" y1="31579" x2="87348" y2="31579"/>
                      <a14:backgroundMark x1="37545" y1="87804" x2="37676" y2="87829"/>
                      <a14:backgroundMark x1="36353" y1="87573" x2="36809" y2="87661"/>
                      <a14:backgroundMark x1="37676" y1="87829" x2="39456" y2="99671"/>
                      <a14:backgroundMark x1="17526" y1="94737" x2="38707" y2="9539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0392" r="10196"/>
        <a:stretch>
          <a:fillRect/>
        </a:stretch>
      </xdr:blipFill>
      <xdr:spPr>
        <a:xfrm>
          <a:off x="18682520" y="2557680"/>
          <a:ext cx="8610268" cy="3078767"/>
        </a:xfrm>
        <a:prstGeom prst="rect">
          <a:avLst/>
        </a:prstGeom>
      </xdr:spPr>
    </xdr:pic>
    <xdr:clientData/>
  </xdr:twoCellAnchor>
  <xdr:twoCellAnchor editAs="oneCell">
    <xdr:from>
      <xdr:col>29</xdr:col>
      <xdr:colOff>328576</xdr:colOff>
      <xdr:row>4</xdr:row>
      <xdr:rowOff>491432</xdr:rowOff>
    </xdr:from>
    <xdr:to>
      <xdr:col>35</xdr:col>
      <xdr:colOff>2027719</xdr:colOff>
      <xdr:row>21</xdr:row>
      <xdr:rowOff>476247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E06D510-3B3F-49F1-3408-14BD3EE8D3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97301" l="10788" r="99625">
                      <a14:foregroundMark x1="10788" y1="14773" x2="19794" y2="14205"/>
                      <a14:foregroundMark x1="19794" y1="14205" x2="21670" y2="14205"/>
                      <a14:foregroundMark x1="21670" y1="10653" x2="28705" y2="568"/>
                      <a14:foregroundMark x1="28705" y1="568" x2="48499" y2="284"/>
                      <a14:foregroundMark x1="48499" y1="284" x2="72702" y2="284"/>
                      <a14:foregroundMark x1="72702" y1="284" x2="80957" y2="14489"/>
                      <a14:foregroundMark x1="80957" y1="14489" x2="80206" y2="17045"/>
                      <a14:foregroundMark x1="32927" y1="69460" x2="34428" y2="98295"/>
                      <a14:foregroundMark x1="34428" y1="98295" x2="97936" y2="65625"/>
                      <a14:foregroundMark x1="97936" y1="65625" x2="96623" y2="55966"/>
                      <a14:foregroundMark x1="96623" y1="55966" x2="73452" y2="56250"/>
                      <a14:foregroundMark x1="35553" y1="88494" x2="35929" y2="99432"/>
                      <a14:foregroundMark x1="35929" y1="99432" x2="98874" y2="90341"/>
                      <a14:foregroundMark x1="98874" y1="90341" x2="98218" y2="82670"/>
                      <a14:foregroundMark x1="98218" y1="82670" x2="99625" y2="67188"/>
                      <a14:foregroundMark x1="99625" y1="67188" x2="99625" y2="67188"/>
                      <a14:foregroundMark x1="36679" y1="95455" x2="91557" y2="99290"/>
                      <a14:foregroundMark x1="91557" y1="99290" x2="98780" y2="97301"/>
                      <a14:foregroundMark x1="98780" y1="97301" x2="98124" y2="87358"/>
                      <a14:foregroundMark x1="98124" y1="87358" x2="98124" y2="87358"/>
                      <a14:foregroundMark x1="22795" y1="284" x2="31801" y2="9375"/>
                      <a14:foregroundMark x1="31801" y1="9375" x2="39024" y2="7813"/>
                      <a14:foregroundMark x1="39024" y1="7813" x2="41557" y2="7813"/>
                      <a14:foregroundMark x1="20169" y1="2131" x2="29831" y2="1278"/>
                      <a14:foregroundMark x1="29831" y1="1278" x2="78049" y2="4972"/>
                      <a14:foregroundMark x1="78049" y1="4972" x2="74296" y2="11790"/>
                      <a14:foregroundMark x1="74296" y1="11790" x2="32927" y2="13068"/>
                      <a14:foregroundMark x1="32927" y1="13068" x2="32927" y2="13068"/>
                      <a14:foregroundMark x1="36304" y1="284" x2="40432" y2="11506"/>
                      <a14:foregroundMark x1="40432" y1="11506" x2="74109" y2="11790"/>
                      <a14:foregroundMark x1="74109" y1="11790" x2="68386" y2="2841"/>
                      <a14:foregroundMark x1="68386" y1="2841" x2="34428" y2="2699"/>
                      <a14:foregroundMark x1="34428" y1="2699" x2="34428" y2="269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0815" r="950"/>
        <a:stretch>
          <a:fillRect/>
        </a:stretch>
      </xdr:blipFill>
      <xdr:spPr>
        <a:xfrm>
          <a:off x="27511461" y="2726144"/>
          <a:ext cx="8623085" cy="6359238"/>
        </a:xfrm>
        <a:prstGeom prst="rect">
          <a:avLst/>
        </a:prstGeom>
      </xdr:spPr>
    </xdr:pic>
    <xdr:clientData/>
  </xdr:twoCellAnchor>
  <xdr:twoCellAnchor editAs="absolute">
    <xdr:from>
      <xdr:col>22</xdr:col>
      <xdr:colOff>754886</xdr:colOff>
      <xdr:row>79</xdr:row>
      <xdr:rowOff>135548</xdr:rowOff>
    </xdr:from>
    <xdr:to>
      <xdr:col>25</xdr:col>
      <xdr:colOff>527890</xdr:colOff>
      <xdr:row>87</xdr:row>
      <xdr:rowOff>135694</xdr:rowOff>
    </xdr:to>
    <xdr:sp macro="[0]!StartAutoRun" textlink="">
      <xdr:nvSpPr>
        <xdr:cNvPr id="6" name="สี่เหลี่ยมผืนผ้า: มุมมน 1">
          <a:extLst>
            <a:ext uri="{FF2B5EF4-FFF2-40B4-BE49-F238E27FC236}">
              <a16:creationId xmlns:a16="http://schemas.microsoft.com/office/drawing/2014/main" id="{38AACA96-159F-4619-AC82-C56508065191}"/>
            </a:ext>
          </a:extLst>
        </xdr:cNvPr>
        <xdr:cNvSpPr>
          <a:spLocks noChangeAspect="1"/>
        </xdr:cNvSpPr>
      </xdr:nvSpPr>
      <xdr:spPr>
        <a:xfrm>
          <a:off x="20011951" y="21057418"/>
          <a:ext cx="3525026" cy="145788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4800" b="1">
              <a:latin typeface="Comic Sans MS" panose="030F0702030302020204" pitchFamily="66" charset="0"/>
              <a:cs typeface="Myanmar Text" panose="020B0502040204020203" pitchFamily="34" charset="0"/>
            </a:rPr>
            <a:t>Start</a:t>
          </a:r>
          <a:endParaRPr lang="th-TH" sz="4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27</xdr:col>
      <xdr:colOff>600888</xdr:colOff>
      <xdr:row>79</xdr:row>
      <xdr:rowOff>138269</xdr:rowOff>
    </xdr:from>
    <xdr:to>
      <xdr:col>30</xdr:col>
      <xdr:colOff>515305</xdr:colOff>
      <xdr:row>87</xdr:row>
      <xdr:rowOff>137911</xdr:rowOff>
    </xdr:to>
    <xdr:sp macro="[0]!StopAutoRun" textlink="">
      <xdr:nvSpPr>
        <xdr:cNvPr id="10" name="สี่เหลี่ยมผืนผ้า: มุมมน 1">
          <a:extLst>
            <a:ext uri="{FF2B5EF4-FFF2-40B4-BE49-F238E27FC236}">
              <a16:creationId xmlns:a16="http://schemas.microsoft.com/office/drawing/2014/main" id="{CBC30D39-08EF-4177-9B0E-F411A13C886E}"/>
            </a:ext>
          </a:extLst>
        </xdr:cNvPr>
        <xdr:cNvSpPr>
          <a:spLocks noChangeAspect="1"/>
        </xdr:cNvSpPr>
      </xdr:nvSpPr>
      <xdr:spPr>
        <a:xfrm>
          <a:off x="25713758" y="21060139"/>
          <a:ext cx="3467656" cy="145738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4800" b="1">
              <a:latin typeface="Comic Sans MS" panose="030F0702030302020204" pitchFamily="66" charset="0"/>
              <a:cs typeface="Myanmar Text" panose="020B0502040204020203" pitchFamily="34" charset="0"/>
            </a:rPr>
            <a:t>Stop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32</xdr:col>
      <xdr:colOff>588790</xdr:colOff>
      <xdr:row>79</xdr:row>
      <xdr:rowOff>108962</xdr:rowOff>
    </xdr:from>
    <xdr:to>
      <xdr:col>35</xdr:col>
      <xdr:colOff>484154</xdr:colOff>
      <xdr:row>87</xdr:row>
      <xdr:rowOff>108604</xdr:rowOff>
    </xdr:to>
    <xdr:sp macro="[0]!ResetTmp" textlink="">
      <xdr:nvSpPr>
        <xdr:cNvPr id="11" name="สี่เหลี่ยมผืนผ้า: มุมมน 1">
          <a:extLst>
            <a:ext uri="{FF2B5EF4-FFF2-40B4-BE49-F238E27FC236}">
              <a16:creationId xmlns:a16="http://schemas.microsoft.com/office/drawing/2014/main" id="{57E66E99-6122-16E2-3982-B30CDAF9F9B8}"/>
            </a:ext>
          </a:extLst>
        </xdr:cNvPr>
        <xdr:cNvSpPr>
          <a:spLocks noChangeAspect="1"/>
        </xdr:cNvSpPr>
      </xdr:nvSpPr>
      <xdr:spPr>
        <a:xfrm>
          <a:off x="31358681" y="21030832"/>
          <a:ext cx="3448603" cy="145738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4800" b="1">
              <a:latin typeface="Comic Sans MS" panose="030F0702030302020204" pitchFamily="66" charset="0"/>
              <a:cs typeface="Myanmar Text" panose="020B0502040204020203" pitchFamily="34" charset="0"/>
            </a:rPr>
            <a:t>Clear</a:t>
          </a:r>
          <a:r>
            <a:rPr lang="en-US" sz="4800" b="1" baseline="0">
              <a:latin typeface="Comic Sans MS" panose="030F0702030302020204" pitchFamily="66" charset="0"/>
              <a:cs typeface="Myanmar Text" panose="020B0502040204020203" pitchFamily="34" charset="0"/>
            </a:rPr>
            <a:t> tmp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243113</xdr:colOff>
      <xdr:row>4</xdr:row>
      <xdr:rowOff>95250</xdr:rowOff>
    </xdr:from>
    <xdr:to>
      <xdr:col>12</xdr:col>
      <xdr:colOff>638175</xdr:colOff>
      <xdr:row>6</xdr:row>
      <xdr:rowOff>236606</xdr:rowOff>
    </xdr:to>
    <xdr:sp macro="[0]!Back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7929788" y="2009775"/>
          <a:ext cx="1728562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oneCell">
    <xdr:from>
      <xdr:col>0</xdr:col>
      <xdr:colOff>294409</xdr:colOff>
      <xdr:row>0</xdr:row>
      <xdr:rowOff>17320</xdr:rowOff>
    </xdr:from>
    <xdr:to>
      <xdr:col>7</xdr:col>
      <xdr:colOff>1375</xdr:colOff>
      <xdr:row>1</xdr:row>
      <xdr:rowOff>335876</xdr:rowOff>
    </xdr:to>
    <xdr:pic>
      <xdr:nvPicPr>
        <xdr:cNvPr id="6" name="รูปภาพ 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5267325" cy="1271056"/>
        </a:xfrm>
        <a:prstGeom prst="rect">
          <a:avLst/>
        </a:prstGeom>
      </xdr:spPr>
    </xdr:pic>
    <xdr:clientData/>
  </xdr:twoCellAnchor>
  <xdr:twoCellAnchor editAs="oneCell">
    <xdr:from>
      <xdr:col>0</xdr:col>
      <xdr:colOff>294409</xdr:colOff>
      <xdr:row>0</xdr:row>
      <xdr:rowOff>17320</xdr:rowOff>
    </xdr:from>
    <xdr:to>
      <xdr:col>7</xdr:col>
      <xdr:colOff>1375</xdr:colOff>
      <xdr:row>1</xdr:row>
      <xdr:rowOff>335876</xdr:rowOff>
    </xdr:to>
    <xdr:pic>
      <xdr:nvPicPr>
        <xdr:cNvPr id="7" name="รูปภาพ 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4682378" cy="127105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272142</xdr:colOff>
      <xdr:row>0</xdr:row>
      <xdr:rowOff>366352</xdr:rowOff>
    </xdr:from>
    <xdr:to>
      <xdr:col>18</xdr:col>
      <xdr:colOff>212992</xdr:colOff>
      <xdr:row>2</xdr:row>
      <xdr:rowOff>35012</xdr:rowOff>
    </xdr:to>
    <xdr:pic>
      <xdr:nvPicPr>
        <xdr:cNvPr id="8" name="รูปภาพ 1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694963" y="366352"/>
          <a:ext cx="4703350" cy="988553"/>
        </a:xfrm>
        <a:prstGeom prst="rect">
          <a:avLst/>
        </a:prstGeom>
      </xdr:spPr>
    </xdr:pic>
    <xdr:clientData/>
  </xdr:twoCellAnchor>
  <xdr:twoCellAnchor>
    <xdr:from>
      <xdr:col>0</xdr:col>
      <xdr:colOff>330013</xdr:colOff>
      <xdr:row>17</xdr:row>
      <xdr:rowOff>178872</xdr:rowOff>
    </xdr:from>
    <xdr:to>
      <xdr:col>5</xdr:col>
      <xdr:colOff>168088</xdr:colOff>
      <xdr:row>28</xdr:row>
      <xdr:rowOff>95530</xdr:rowOff>
    </xdr:to>
    <xdr:grpSp>
      <xdr:nvGrpSpPr>
        <xdr:cNvPr id="23" name="กลุ่ม 22">
          <a:extLst>
            <a:ext uri="{FF2B5EF4-FFF2-40B4-BE49-F238E27FC236}">
              <a16:creationId xmlns:a16="http://schemas.microsoft.com/office/drawing/2014/main" id="{E835E5F8-29D4-CE2B-2490-E9E13AD9337F}"/>
            </a:ext>
          </a:extLst>
        </xdr:cNvPr>
        <xdr:cNvGrpSpPr/>
      </xdr:nvGrpSpPr>
      <xdr:grpSpPr>
        <a:xfrm>
          <a:off x="330013" y="5186301"/>
          <a:ext cx="3335111" cy="1862479"/>
          <a:chOff x="352425" y="4548185"/>
          <a:chExt cx="2909888" cy="201215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3673" t="29901" r="10939" b="13976"/>
          <a:stretch/>
        </xdr:blipFill>
        <xdr:spPr>
          <a:xfrm>
            <a:off x="352425" y="4857750"/>
            <a:ext cx="2909888" cy="1452145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166819" y="4548185"/>
            <a:ext cx="1273967" cy="297658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49.600</a:t>
            </a:r>
            <a:r>
              <a:rPr lang="en-US" sz="1100" baseline="0"/>
              <a:t> - 49.625</a:t>
            </a:r>
            <a:endParaRPr lang="th-TH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143007" y="6274593"/>
            <a:ext cx="1250154" cy="285750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50.031 - 50.056</a:t>
            </a:r>
            <a:endParaRPr lang="th-TH" sz="1100"/>
          </a:p>
        </xdr:txBody>
      </xdr:sp>
    </xdr:grpSp>
    <xdr:clientData/>
  </xdr:twoCellAnchor>
  <xdr:twoCellAnchor>
    <xdr:from>
      <xdr:col>13</xdr:col>
      <xdr:colOff>195489</xdr:colOff>
      <xdr:row>4</xdr:row>
      <xdr:rowOff>90054</xdr:rowOff>
    </xdr:from>
    <xdr:to>
      <xdr:col>15</xdr:col>
      <xdr:colOff>590550</xdr:colOff>
      <xdr:row>6</xdr:row>
      <xdr:rowOff>231410</xdr:rowOff>
    </xdr:to>
    <xdr:sp macro="[0]!NextHistory_Click" textlink="">
      <xdr:nvSpPr>
        <xdr:cNvPr id="14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 noChangeAspect="1"/>
        </xdr:cNvSpPr>
      </xdr:nvSpPr>
      <xdr:spPr>
        <a:xfrm>
          <a:off x="9882414" y="2004579"/>
          <a:ext cx="1728561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Next</a:t>
          </a:r>
          <a:r>
            <a:rPr lang="en-US" sz="1800" b="1" baseline="0">
              <a:latin typeface="Comic Sans MS" panose="030F0702030302020204" pitchFamily="66" charset="0"/>
              <a:cs typeface="Myanmar Text" panose="020B0502040204020203" pitchFamily="34" charset="0"/>
            </a:rPr>
            <a:t> Page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10</xdr:col>
      <xdr:colOff>243113</xdr:colOff>
      <xdr:row>7</xdr:row>
      <xdr:rowOff>230981</xdr:rowOff>
    </xdr:from>
    <xdr:to>
      <xdr:col>12</xdr:col>
      <xdr:colOff>638175</xdr:colOff>
      <xdr:row>10</xdr:row>
      <xdr:rowOff>200887</xdr:rowOff>
    </xdr:to>
    <xdr:sp macro="[0]!f_airgaugeClear" textlink="">
      <xdr:nvSpPr>
        <xdr:cNvPr id="16" name="สี่เหลี่ยมผืนผ้า: มุมมน 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>
          <a:spLocks noChangeAspect="1"/>
        </xdr:cNvSpPr>
      </xdr:nvSpPr>
      <xdr:spPr>
        <a:xfrm>
          <a:off x="7929788" y="2964656"/>
          <a:ext cx="1728562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Clear Content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5</xdr:col>
      <xdr:colOff>472889</xdr:colOff>
      <xdr:row>17</xdr:row>
      <xdr:rowOff>151700</xdr:rowOff>
    </xdr:from>
    <xdr:to>
      <xdr:col>9</xdr:col>
      <xdr:colOff>67113</xdr:colOff>
      <xdr:row>33</xdr:row>
      <xdr:rowOff>88419</xdr:rowOff>
    </xdr:to>
    <xdr:grpSp>
      <xdr:nvGrpSpPr>
        <xdr:cNvPr id="22" name="กลุ่ม 21">
          <a:extLst>
            <a:ext uri="{FF2B5EF4-FFF2-40B4-BE49-F238E27FC236}">
              <a16:creationId xmlns:a16="http://schemas.microsoft.com/office/drawing/2014/main" id="{081253EF-3507-35D0-8BAA-E6C4AC69DCB3}"/>
            </a:ext>
          </a:extLst>
        </xdr:cNvPr>
        <xdr:cNvGrpSpPr/>
      </xdr:nvGrpSpPr>
      <xdr:grpSpPr>
        <a:xfrm>
          <a:off x="3969925" y="5159129"/>
          <a:ext cx="3159295" cy="2767004"/>
          <a:chOff x="3567114" y="4543425"/>
          <a:chExt cx="2725567" cy="2984719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868" t="7298" r="21855"/>
          <a:stretch/>
        </xdr:blipFill>
        <xdr:spPr>
          <a:xfrm>
            <a:off x="3567114" y="4543425"/>
            <a:ext cx="2725567" cy="2984719"/>
          </a:xfrm>
          <a:prstGeom prst="rect">
            <a:avLst/>
          </a:prstGeom>
        </xdr:spPr>
      </xdr:pic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4532617" y="7063153"/>
            <a:ext cx="771160" cy="168519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59.910-59.940</a:t>
            </a:r>
            <a:endParaRPr lang="th-TH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4531152" y="6849206"/>
            <a:ext cx="771160" cy="17584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50.031-50.056</a:t>
            </a:r>
            <a:endParaRPr lang="th-TH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4483523" y="7220896"/>
            <a:ext cx="898101" cy="26181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140.000-141.000</a:t>
            </a:r>
            <a:endParaRPr lang="th-TH" sz="1100"/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4476749" y="5988842"/>
            <a:ext cx="898101" cy="20240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>
                <a:solidFill>
                  <a:schemeClr val="bg1"/>
                </a:solidFill>
              </a:rPr>
              <a:t>43.800-43.825</a:t>
            </a:r>
            <a:endParaRPr lang="th-TH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328085</xdr:colOff>
      <xdr:row>11</xdr:row>
      <xdr:rowOff>146561</xdr:rowOff>
    </xdr:from>
    <xdr:to>
      <xdr:col>9</xdr:col>
      <xdr:colOff>181283</xdr:colOff>
      <xdr:row>16</xdr:row>
      <xdr:rowOff>40318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91C692B9-A5E3-9F21-BEC1-C71D3852812C}"/>
            </a:ext>
          </a:extLst>
        </xdr:cNvPr>
        <xdr:cNvGrpSpPr/>
      </xdr:nvGrpSpPr>
      <xdr:grpSpPr>
        <a:xfrm>
          <a:off x="328085" y="3874918"/>
          <a:ext cx="6915305" cy="982329"/>
          <a:chOff x="328085" y="3870836"/>
          <a:chExt cx="6873123" cy="960557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684B54B9-9F4D-E350-A9AF-19BFA4DF5B9B}"/>
              </a:ext>
            </a:extLst>
          </xdr:cNvPr>
          <xdr:cNvGrpSpPr/>
        </xdr:nvGrpSpPr>
        <xdr:grpSpPr>
          <a:xfrm>
            <a:off x="328085" y="3870836"/>
            <a:ext cx="1118967" cy="937409"/>
            <a:chOff x="328085" y="4379894"/>
            <a:chExt cx="1123200" cy="960693"/>
          </a:xfrm>
        </xdr:grpSpPr>
        <xdr:sp macro="" textlink="">
          <xdr:nvSpPr>
            <xdr:cNvPr id="33" name="สี่เหลี่ยมผืนผ้า: มุมมน 32">
              <a:extLst>
                <a:ext uri="{FF2B5EF4-FFF2-40B4-BE49-F238E27FC236}">
                  <a16:creationId xmlns:a16="http://schemas.microsoft.com/office/drawing/2014/main" id="{5227C57E-C072-4110-9C58-E2658067942E}"/>
                </a:ext>
              </a:extLst>
            </xdr:cNvPr>
            <xdr:cNvSpPr>
              <a:spLocks noChangeAspect="1"/>
            </xdr:cNvSpPr>
          </xdr:nvSpPr>
          <xdr:spPr>
            <a:xfrm>
              <a:off x="333555" y="4440587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89" name="รูปภาพ 88">
                  <a:extLst>
                    <a:ext uri="{FF2B5EF4-FFF2-40B4-BE49-F238E27FC236}">
                      <a16:creationId xmlns:a16="http://schemas.microsoft.com/office/drawing/2014/main" id="{76ACFF00-79E1-0615-E23F-ABD3B07317E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51" spid="_x0000_s18128"/>
                    </a:ext>
                  </a:extLst>
                </xdr:cNvPicPr>
              </xdr:nvPicPr>
              <xdr:blipFill>
                <a:blip xmlns:r="http://schemas.openxmlformats.org/officeDocument/2006/relationships" r:embed="rId5"/>
                <a:srcRect/>
                <a:stretch>
                  <a:fillRect/>
                </a:stretch>
              </xdr:blipFill>
              <xdr:spPr bwMode="auto">
                <a:xfrm>
                  <a:off x="328085" y="4379894"/>
                  <a:ext cx="1123200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F2E478DF-50D7-6DFF-839D-A643733D2EA4}"/>
              </a:ext>
            </a:extLst>
          </xdr:cNvPr>
          <xdr:cNvGrpSpPr/>
        </xdr:nvGrpSpPr>
        <xdr:grpSpPr>
          <a:xfrm>
            <a:off x="1488017" y="3872441"/>
            <a:ext cx="1121582" cy="938692"/>
            <a:chOff x="1492250" y="4381499"/>
            <a:chExt cx="1123699" cy="961976"/>
          </a:xfrm>
        </xdr:grpSpPr>
        <xdr:sp macro="" textlink="">
          <xdr:nvSpPr>
            <xdr:cNvPr id="40" name="สี่เหลี่ยมผืนผ้า: มุมมน 39">
              <a:extLst>
                <a:ext uri="{FF2B5EF4-FFF2-40B4-BE49-F238E27FC236}">
                  <a16:creationId xmlns:a16="http://schemas.microsoft.com/office/drawing/2014/main" id="{896B722F-FA75-4737-91F5-2F2B93D18538}"/>
                </a:ext>
              </a:extLst>
            </xdr:cNvPr>
            <xdr:cNvSpPr>
              <a:spLocks noChangeAspect="1"/>
            </xdr:cNvSpPr>
          </xdr:nvSpPr>
          <xdr:spPr>
            <a:xfrm>
              <a:off x="1499958" y="4443475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17" name="Picture 16">
                  <a:extLst>
                    <a:ext uri="{FF2B5EF4-FFF2-40B4-BE49-F238E27FC236}">
                      <a16:creationId xmlns:a16="http://schemas.microsoft.com/office/drawing/2014/main" id="{86AE1F1E-F2B3-A0C5-A931-30B9F96C7E9E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54" spid="_x0000_s18129"/>
                    </a:ext>
                  </a:extLst>
                </xdr:cNvPicPr>
              </xdr:nvPicPr>
              <xdr:blipFill>
                <a:blip xmlns:r="http://schemas.openxmlformats.org/officeDocument/2006/relationships" r:embed="rId5"/>
                <a:srcRect/>
                <a:stretch>
                  <a:fillRect/>
                </a:stretch>
              </xdr:blipFill>
              <xdr:spPr bwMode="auto">
                <a:xfrm>
                  <a:off x="1492250" y="4381499"/>
                  <a:ext cx="1123699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8E5CF294-9179-8D8B-35B6-9A72EF9B7AD6}"/>
              </a:ext>
            </a:extLst>
          </xdr:cNvPr>
          <xdr:cNvGrpSpPr/>
        </xdr:nvGrpSpPr>
        <xdr:grpSpPr>
          <a:xfrm>
            <a:off x="2639482" y="3872442"/>
            <a:ext cx="1120481" cy="941235"/>
            <a:chOff x="2645832" y="4381500"/>
            <a:chExt cx="1121539" cy="964519"/>
          </a:xfrm>
        </xdr:grpSpPr>
        <xdr:sp macro="" textlink="">
          <xdr:nvSpPr>
            <xdr:cNvPr id="41" name="สี่เหลี่ยมผืนผ้า: มุมมน 40">
              <a:extLst>
                <a:ext uri="{FF2B5EF4-FFF2-40B4-BE49-F238E27FC236}">
                  <a16:creationId xmlns:a16="http://schemas.microsoft.com/office/drawing/2014/main" id="{113FBF7E-93FF-47C7-B53F-C32D5CACA71D}"/>
                </a:ext>
              </a:extLst>
            </xdr:cNvPr>
            <xdr:cNvSpPr>
              <a:spLocks noChangeAspect="1"/>
            </xdr:cNvSpPr>
          </xdr:nvSpPr>
          <xdr:spPr>
            <a:xfrm>
              <a:off x="2667336" y="4446019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21" name="Picture 20">
                  <a:extLst>
                    <a:ext uri="{FF2B5EF4-FFF2-40B4-BE49-F238E27FC236}">
                      <a16:creationId xmlns:a16="http://schemas.microsoft.com/office/drawing/2014/main" id="{EDB38529-6793-9D32-DE97-AEF09B6E76B3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57" spid="_x0000_s18130"/>
                    </a:ext>
                  </a:extLst>
                </xdr:cNvPicPr>
              </xdr:nvPicPr>
              <xdr:blipFill>
                <a:blip xmlns:r="http://schemas.openxmlformats.org/officeDocument/2006/relationships" r:embed="rId5"/>
                <a:srcRect/>
                <a:stretch>
                  <a:fillRect/>
                </a:stretch>
              </xdr:blipFill>
              <xdr:spPr bwMode="auto">
                <a:xfrm>
                  <a:off x="2645832" y="4381500"/>
                  <a:ext cx="1121539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E70DE15B-09DA-C10C-7257-4887F4065ABB}"/>
              </a:ext>
            </a:extLst>
          </xdr:cNvPr>
          <xdr:cNvGrpSpPr/>
        </xdr:nvGrpSpPr>
        <xdr:grpSpPr>
          <a:xfrm>
            <a:off x="3813175" y="3883026"/>
            <a:ext cx="1116247" cy="942937"/>
            <a:chOff x="3820583" y="4392084"/>
            <a:chExt cx="1121539" cy="966221"/>
          </a:xfrm>
        </xdr:grpSpPr>
        <xdr:sp macro="" textlink="">
          <xdr:nvSpPr>
            <xdr:cNvPr id="82" name="สี่เหลี่ยมผืนผ้า: มุมมน 81">
              <a:extLst>
                <a:ext uri="{FF2B5EF4-FFF2-40B4-BE49-F238E27FC236}">
                  <a16:creationId xmlns:a16="http://schemas.microsoft.com/office/drawing/2014/main" id="{8E84282C-4919-4217-BF59-87A9EA9126C8}"/>
                </a:ext>
              </a:extLst>
            </xdr:cNvPr>
            <xdr:cNvSpPr>
              <a:spLocks noChangeAspect="1"/>
            </xdr:cNvSpPr>
          </xdr:nvSpPr>
          <xdr:spPr>
            <a:xfrm>
              <a:off x="3834861" y="4458305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24" name="Picture 23">
                  <a:extLst>
                    <a:ext uri="{FF2B5EF4-FFF2-40B4-BE49-F238E27FC236}">
                      <a16:creationId xmlns:a16="http://schemas.microsoft.com/office/drawing/2014/main" id="{73E46A6C-372F-7432-2CCB-188A48BC1A9F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60" spid="_x0000_s18131"/>
                    </a:ext>
                  </a:extLst>
                </xdr:cNvPicPr>
              </xdr:nvPicPr>
              <xdr:blipFill>
                <a:blip xmlns:r="http://schemas.openxmlformats.org/officeDocument/2006/relationships" r:embed="rId5"/>
                <a:srcRect/>
                <a:stretch>
                  <a:fillRect/>
                </a:stretch>
              </xdr:blipFill>
              <xdr:spPr bwMode="auto">
                <a:xfrm>
                  <a:off x="3820583" y="4392084"/>
                  <a:ext cx="1121539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80F981CE-FCC5-EBEB-6A81-B91E1C1C4335}"/>
              </a:ext>
            </a:extLst>
          </xdr:cNvPr>
          <xdr:cNvGrpSpPr/>
        </xdr:nvGrpSpPr>
        <xdr:grpSpPr>
          <a:xfrm>
            <a:off x="4972050" y="3893608"/>
            <a:ext cx="1118407" cy="935241"/>
            <a:chOff x="4984750" y="4402666"/>
            <a:chExt cx="1123699" cy="958525"/>
          </a:xfrm>
        </xdr:grpSpPr>
        <xdr:sp macro="" textlink="">
          <xdr:nvSpPr>
            <xdr:cNvPr id="83" name="สี่เหลี่ยมผืนผ้า: มุมมน 82">
              <a:extLst>
                <a:ext uri="{FF2B5EF4-FFF2-40B4-BE49-F238E27FC236}">
                  <a16:creationId xmlns:a16="http://schemas.microsoft.com/office/drawing/2014/main" id="{F6CD330F-4E4A-4EA9-A5EC-2869D7063AB9}"/>
                </a:ext>
              </a:extLst>
            </xdr:cNvPr>
            <xdr:cNvSpPr>
              <a:spLocks noChangeAspect="1"/>
            </xdr:cNvSpPr>
          </xdr:nvSpPr>
          <xdr:spPr>
            <a:xfrm>
              <a:off x="4990171" y="4461191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25" name="Picture 24">
                  <a:extLst>
                    <a:ext uri="{FF2B5EF4-FFF2-40B4-BE49-F238E27FC236}">
                      <a16:creationId xmlns:a16="http://schemas.microsoft.com/office/drawing/2014/main" id="{2AF34EC6-3D63-8E97-2EC7-1817E38EBB0A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63" spid="_x0000_s18132"/>
                    </a:ext>
                  </a:extLst>
                </xdr:cNvPicPr>
              </xdr:nvPicPr>
              <xdr:blipFill>
                <a:blip xmlns:r="http://schemas.openxmlformats.org/officeDocument/2006/relationships" r:embed="rId5"/>
                <a:srcRect/>
                <a:stretch>
                  <a:fillRect/>
                </a:stretch>
              </xdr:blipFill>
              <xdr:spPr bwMode="auto">
                <a:xfrm>
                  <a:off x="4984750" y="4402666"/>
                  <a:ext cx="1123699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46EEB8A9-43F0-6E4D-A778-C1E1B5E46EE3}"/>
              </a:ext>
            </a:extLst>
          </xdr:cNvPr>
          <xdr:cNvGrpSpPr/>
        </xdr:nvGrpSpPr>
        <xdr:grpSpPr>
          <a:xfrm>
            <a:off x="6120341" y="3893608"/>
            <a:ext cx="1080867" cy="937785"/>
            <a:chOff x="6138333" y="4402666"/>
            <a:chExt cx="1123200" cy="961069"/>
          </a:xfrm>
        </xdr:grpSpPr>
        <xdr:sp macro="" textlink="">
          <xdr:nvSpPr>
            <xdr:cNvPr id="81" name="สี่เหลี่ยมผืนผ้า: มุมมน 80">
              <a:extLst>
                <a:ext uri="{FF2B5EF4-FFF2-40B4-BE49-F238E27FC236}">
                  <a16:creationId xmlns:a16="http://schemas.microsoft.com/office/drawing/2014/main" id="{054E0D17-103E-4D74-83E2-19B66A01960D}"/>
                </a:ext>
              </a:extLst>
            </xdr:cNvPr>
            <xdr:cNvSpPr>
              <a:spLocks noChangeAspect="1"/>
            </xdr:cNvSpPr>
          </xdr:nvSpPr>
          <xdr:spPr>
            <a:xfrm>
              <a:off x="6150681" y="4463735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26" name="Picture 25">
                  <a:extLst>
                    <a:ext uri="{FF2B5EF4-FFF2-40B4-BE49-F238E27FC236}">
                      <a16:creationId xmlns:a16="http://schemas.microsoft.com/office/drawing/2014/main" id="{2CC5F8F6-A94F-903A-E918-14A3388AD24D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66" spid="_x0000_s18133"/>
                    </a:ext>
                  </a:extLst>
                </xdr:cNvPicPr>
              </xdr:nvPicPr>
              <xdr:blipFill>
                <a:blip xmlns:r="http://schemas.openxmlformats.org/officeDocument/2006/relationships" r:embed="rId6"/>
                <a:srcRect/>
                <a:stretch>
                  <a:fillRect/>
                </a:stretch>
              </xdr:blipFill>
              <xdr:spPr bwMode="auto">
                <a:xfrm>
                  <a:off x="6138333" y="4402666"/>
                  <a:ext cx="1123200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</xdr:grpSp>
    <xdr:clientData/>
  </xdr:twoCellAnchor>
  <xdr:twoCellAnchor editAs="absolute">
    <xdr:from>
      <xdr:col>10</xdr:col>
      <xdr:colOff>258536</xdr:colOff>
      <xdr:row>12</xdr:row>
      <xdr:rowOff>0</xdr:rowOff>
    </xdr:from>
    <xdr:to>
      <xdr:col>12</xdr:col>
      <xdr:colOff>653598</xdr:colOff>
      <xdr:row>15</xdr:row>
      <xdr:rowOff>133192</xdr:rowOff>
    </xdr:to>
    <xdr:sp macro="[0]!StartAutoRu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740A455D-4092-4480-91D3-46E6AD9B2B21}"/>
            </a:ext>
          </a:extLst>
        </xdr:cNvPr>
        <xdr:cNvSpPr>
          <a:spLocks noChangeAspect="1"/>
        </xdr:cNvSpPr>
      </xdr:nvSpPr>
      <xdr:spPr>
        <a:xfrm>
          <a:off x="8001000" y="3905250"/>
          <a:ext cx="1755777" cy="70469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Start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13</xdr:col>
      <xdr:colOff>288471</xdr:colOff>
      <xdr:row>12</xdr:row>
      <xdr:rowOff>2721</xdr:rowOff>
    </xdr:from>
    <xdr:to>
      <xdr:col>16</xdr:col>
      <xdr:colOff>3177</xdr:colOff>
      <xdr:row>15</xdr:row>
      <xdr:rowOff>135913</xdr:rowOff>
    </xdr:to>
    <xdr:sp macro="[0]!StopAutoRun" textlink="">
      <xdr:nvSpPr>
        <xdr:cNvPr id="19" name="สี่เหลี่ยมผืนผ้า: มุมมน 1">
          <a:extLst>
            <a:ext uri="{FF2B5EF4-FFF2-40B4-BE49-F238E27FC236}">
              <a16:creationId xmlns:a16="http://schemas.microsoft.com/office/drawing/2014/main" id="{82D33265-9DA5-4F99-92ED-A69C4E725ABD}"/>
            </a:ext>
          </a:extLst>
        </xdr:cNvPr>
        <xdr:cNvSpPr>
          <a:spLocks noChangeAspect="1"/>
        </xdr:cNvSpPr>
      </xdr:nvSpPr>
      <xdr:spPr>
        <a:xfrm>
          <a:off x="10072007" y="3907971"/>
          <a:ext cx="1755777" cy="70469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Stop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428626</xdr:colOff>
      <xdr:row>0</xdr:row>
      <xdr:rowOff>152401</xdr:rowOff>
    </xdr:from>
    <xdr:to>
      <xdr:col>23</xdr:col>
      <xdr:colOff>333375</xdr:colOff>
      <xdr:row>4</xdr:row>
      <xdr:rowOff>23812</xdr:rowOff>
    </xdr:to>
    <xdr:sp macro="[0]!Airgauge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4491157" y="152401"/>
          <a:ext cx="1285874" cy="58578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33</xdr:col>
      <xdr:colOff>392907</xdr:colOff>
      <xdr:row>0</xdr:row>
      <xdr:rowOff>152401</xdr:rowOff>
    </xdr:from>
    <xdr:to>
      <xdr:col>35</xdr:col>
      <xdr:colOff>297656</xdr:colOff>
      <xdr:row>4</xdr:row>
      <xdr:rowOff>23812</xdr:rowOff>
    </xdr:to>
    <xdr:sp macro="[0]!Airgauge_Click" textlink="">
      <xdr:nvSpPr>
        <xdr:cNvPr id="2" name="สี่เหลี่ยมผืนผ้า: มุมมน 2">
          <a:extLst>
            <a:ext uri="{FF2B5EF4-FFF2-40B4-BE49-F238E27FC236}">
              <a16:creationId xmlns:a16="http://schemas.microsoft.com/office/drawing/2014/main" id="{988D8A7C-38E7-43CE-88BE-2D2010C078A4}"/>
            </a:ext>
          </a:extLst>
        </xdr:cNvPr>
        <xdr:cNvSpPr/>
      </xdr:nvSpPr>
      <xdr:spPr>
        <a:xfrm>
          <a:off x="24491157" y="152401"/>
          <a:ext cx="1285874" cy="58578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23</xdr:col>
      <xdr:colOff>452438</xdr:colOff>
      <xdr:row>0</xdr:row>
      <xdr:rowOff>152401</xdr:rowOff>
    </xdr:from>
    <xdr:to>
      <xdr:col>25</xdr:col>
      <xdr:colOff>357187</xdr:colOff>
      <xdr:row>4</xdr:row>
      <xdr:rowOff>23812</xdr:rowOff>
    </xdr:to>
    <xdr:sp macro="[0]!clearHistory" textlink="">
      <xdr:nvSpPr>
        <xdr:cNvPr id="4" name="สี่เหลี่ยมผืนผ้า: มุมมน 2">
          <a:extLst>
            <a:ext uri="{FF2B5EF4-FFF2-40B4-BE49-F238E27FC236}">
              <a16:creationId xmlns:a16="http://schemas.microsoft.com/office/drawing/2014/main" id="{39BAC54A-D746-25C3-2826-40EDD88AB364}"/>
            </a:ext>
          </a:extLst>
        </xdr:cNvPr>
        <xdr:cNvSpPr/>
      </xdr:nvSpPr>
      <xdr:spPr>
        <a:xfrm>
          <a:off x="17645063" y="152401"/>
          <a:ext cx="1285874" cy="58578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Claer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J11" totalsRowShown="0" headerRowDxfId="9" dataDxfId="8">
  <autoFilter ref="A5:J1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000-000001000000}" name="NO." dataDxfId="7"/>
    <tableColumn id="2" xr3:uid="{00000000-0010-0000-0000-000002000000}" name="Size" dataDxfId="6"/>
    <tableColumn id="3" xr3:uid="{00000000-0010-0000-0000-000003000000}" name="Tol Max" dataDxfId="5"/>
    <tableColumn id="4" xr3:uid="{00000000-0010-0000-0000-000004000000}" name="Tol Min" dataDxfId="4"/>
    <tableColumn id="5" xr3:uid="{00000000-0010-0000-0000-000005000000}" name="Actual" dataDxfId="3"/>
    <tableColumn id="6" xr3:uid="{00000000-0010-0000-0000-000006000000}" name="Actual2" dataDxfId="2"/>
    <tableColumn id="7" xr3:uid="{00000000-0010-0000-0000-000007000000}" name="OK/NG" dataDxfId="1"/>
    <tableColumn id="8" xr3:uid="{00000000-0010-0000-0000-000008000000}" name="Max"/>
    <tableColumn id="9" xr3:uid="{00000000-0010-0000-0000-000009000000}" name="Min"/>
    <tableColumn id="10" xr3:uid="{00000000-0010-0000-0000-00000A000000}" name="START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X80"/>
  <sheetViews>
    <sheetView showGridLines="0" zoomScale="26" zoomScaleNormal="26" workbookViewId="0">
      <selection activeCell="B5" sqref="B5:O5"/>
    </sheetView>
  </sheetViews>
  <sheetFormatPr defaultColWidth="9" defaultRowHeight="14.25" x14ac:dyDescent="0.2"/>
  <cols>
    <col min="1" max="1" width="9.25" customWidth="1"/>
    <col min="2" max="6" width="10.75" customWidth="1"/>
    <col min="7" max="7" width="15.125" customWidth="1"/>
    <col min="8" max="8" width="15.5" customWidth="1"/>
    <col min="9" max="14" width="10.75" customWidth="1"/>
    <col min="15" max="15" width="13.625" customWidth="1"/>
    <col min="16" max="16" width="4" customWidth="1"/>
    <col min="17" max="17" width="41.875" customWidth="1"/>
    <col min="18" max="18" width="3" customWidth="1"/>
    <col min="19" max="19" width="2.625" customWidth="1"/>
    <col min="20" max="20" width="7.75" customWidth="1"/>
    <col min="21" max="21" width="12.75" style="41" customWidth="1"/>
    <col min="22" max="22" width="8.875" customWidth="1"/>
    <col min="23" max="25" width="16.375" customWidth="1"/>
    <col min="26" max="28" width="13.75" customWidth="1"/>
    <col min="29" max="30" width="16.375" customWidth="1"/>
    <col min="31" max="33" width="13.75" customWidth="1"/>
    <col min="34" max="35" width="16.375" customWidth="1"/>
    <col min="36" max="36" width="35.625" customWidth="1"/>
    <col min="37" max="37" width="16.375" customWidth="1"/>
    <col min="38" max="38" width="7.25" customWidth="1"/>
    <col min="39" max="41" width="16.375" customWidth="1"/>
    <col min="42" max="42" width="27.375" style="42" customWidth="1"/>
    <col min="49" max="49" width="0.25" customWidth="1"/>
    <col min="50" max="50" width="15.25" customWidth="1"/>
  </cols>
  <sheetData>
    <row r="1" spans="1:50" s="14" customFormat="1" ht="75" customHeight="1" x14ac:dyDescent="1.35">
      <c r="A1" s="10"/>
      <c r="B1" s="11"/>
      <c r="C1" s="11"/>
      <c r="D1" s="11"/>
      <c r="E1" s="11"/>
      <c r="F1" s="11"/>
      <c r="G1" s="12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38"/>
      <c r="AQ1" s="11"/>
      <c r="AR1" s="11"/>
      <c r="AS1" s="11"/>
      <c r="AT1" s="11"/>
      <c r="AU1" s="11"/>
    </row>
    <row r="2" spans="1:50" s="41" customFormat="1" ht="29.25" customHeight="1" x14ac:dyDescent="0.3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40"/>
      <c r="AQ2" s="39"/>
      <c r="AR2" s="39"/>
      <c r="AS2" s="39"/>
      <c r="AT2" s="39"/>
      <c r="AU2" s="39"/>
    </row>
    <row r="3" spans="1:50" ht="14.25" customHeight="1" x14ac:dyDescent="0.2"/>
    <row r="4" spans="1:50" ht="58.5" x14ac:dyDescent="0.7">
      <c r="A4" s="43"/>
      <c r="B4" s="73" t="s">
        <v>9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5"/>
      <c r="W4" s="73" t="s">
        <v>12</v>
      </c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8"/>
      <c r="AN4" s="44"/>
    </row>
    <row r="5" spans="1:50" s="45" customFormat="1" ht="87.75" x14ac:dyDescent="1.05"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65"/>
      <c r="Q5" s="66"/>
      <c r="R5" s="66"/>
      <c r="S5" s="67"/>
      <c r="U5" s="46"/>
      <c r="AP5" s="47"/>
    </row>
    <row r="6" spans="1:50" s="45" customFormat="1" ht="88.9" customHeight="1" x14ac:dyDescent="1.05"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68"/>
      <c r="Q6" s="69"/>
      <c r="R6" s="69"/>
      <c r="S6" s="70"/>
      <c r="U6" s="46"/>
      <c r="AP6" s="47"/>
    </row>
    <row r="7" spans="1:50" x14ac:dyDescent="0.2">
      <c r="AX7" s="89">
        <f>B31</f>
        <v>0</v>
      </c>
    </row>
    <row r="8" spans="1:50" x14ac:dyDescent="0.2">
      <c r="AX8" s="89"/>
    </row>
    <row r="9" spans="1:50" ht="13.9" customHeight="1" x14ac:dyDescent="0.2">
      <c r="AX9" s="89"/>
    </row>
    <row r="10" spans="1:50" ht="13.9" customHeight="1" x14ac:dyDescent="0.2">
      <c r="AX10" s="89"/>
    </row>
    <row r="11" spans="1:50" ht="13.9" customHeight="1" x14ac:dyDescent="0.2">
      <c r="AX11" s="89"/>
    </row>
    <row r="12" spans="1:50" ht="13.9" customHeight="1" x14ac:dyDescent="0.2">
      <c r="W12" s="48"/>
      <c r="X12" s="48"/>
      <c r="AX12" s="89">
        <f>J31</f>
        <v>0</v>
      </c>
    </row>
    <row r="13" spans="1:50" ht="9" customHeight="1" x14ac:dyDescent="0.2">
      <c r="W13" s="48"/>
      <c r="X13" s="48"/>
      <c r="Y13" s="64"/>
      <c r="Z13" s="64"/>
      <c r="AA13" s="64"/>
      <c r="AB13" s="64"/>
      <c r="AX13" s="89"/>
    </row>
    <row r="14" spans="1:50" ht="20.25" customHeight="1" x14ac:dyDescent="0.2">
      <c r="W14" s="49" t="s">
        <v>23</v>
      </c>
      <c r="X14" s="50"/>
      <c r="AX14" s="89"/>
    </row>
    <row r="15" spans="1:50" ht="20.25" customHeight="1" x14ac:dyDescent="0.2">
      <c r="W15" s="49" t="s">
        <v>24</v>
      </c>
      <c r="X15" s="50"/>
      <c r="AX15" s="89"/>
    </row>
    <row r="16" spans="1:50" ht="20.25" customHeight="1" x14ac:dyDescent="0.2">
      <c r="W16" s="50" t="s">
        <v>21</v>
      </c>
      <c r="X16" s="50"/>
      <c r="AX16" s="89"/>
    </row>
    <row r="17" spans="2:38" ht="20.25" customHeight="1" x14ac:dyDescent="0.2">
      <c r="W17" s="50" t="s">
        <v>22</v>
      </c>
      <c r="X17" s="50"/>
    </row>
    <row r="18" spans="2:38" ht="69.599999999999994" customHeight="1" x14ac:dyDescent="0.2">
      <c r="B18" s="78" t="s">
        <v>11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80"/>
      <c r="W18" s="48"/>
      <c r="X18" s="48"/>
    </row>
    <row r="19" spans="2:38" ht="13.9" customHeight="1" x14ac:dyDescent="0.2">
      <c r="W19" s="48"/>
      <c r="X19" s="48"/>
    </row>
    <row r="21" spans="2:38" ht="53.25" customHeight="1" x14ac:dyDescent="0.2">
      <c r="Q21" s="54"/>
      <c r="R21" s="52"/>
    </row>
    <row r="22" spans="2:38" ht="53.25" customHeight="1" x14ac:dyDescent="0.2">
      <c r="Q22" s="55"/>
      <c r="R22" s="52"/>
    </row>
    <row r="23" spans="2:38" x14ac:dyDescent="0.2">
      <c r="Q23" s="52"/>
      <c r="R23" s="52"/>
    </row>
    <row r="24" spans="2:38" ht="14.45" customHeight="1" x14ac:dyDescent="0.2">
      <c r="Q24" s="52"/>
      <c r="R24" s="52"/>
    </row>
    <row r="25" spans="2:38" x14ac:dyDescent="0.2">
      <c r="B25" s="23"/>
      <c r="Q25" s="64"/>
      <c r="R25" s="64"/>
      <c r="S25" s="64"/>
    </row>
    <row r="27" spans="2:38" ht="13.9" customHeight="1" x14ac:dyDescent="0.2">
      <c r="W27" s="51"/>
      <c r="X27" s="51"/>
      <c r="Y27" s="51"/>
      <c r="Z27" s="51"/>
      <c r="AC27" s="51"/>
      <c r="AD27" s="51"/>
      <c r="AE27" s="51"/>
      <c r="AF27" s="51"/>
      <c r="AI27" s="51"/>
      <c r="AJ27" s="51"/>
      <c r="AK27" s="51"/>
      <c r="AL27" s="51"/>
    </row>
    <row r="28" spans="2:38" ht="13.9" customHeight="1" x14ac:dyDescent="0.2">
      <c r="W28" s="51"/>
      <c r="X28" s="51"/>
      <c r="Y28" s="51"/>
      <c r="Z28" s="51"/>
      <c r="AC28" s="51"/>
      <c r="AD28" s="51"/>
      <c r="AE28" s="51"/>
      <c r="AF28" s="51"/>
      <c r="AI28" s="51"/>
      <c r="AJ28" s="51"/>
      <c r="AK28" s="51"/>
      <c r="AL28" s="51"/>
    </row>
    <row r="29" spans="2:38" ht="13.9" customHeight="1" x14ac:dyDescent="0.2">
      <c r="B29" s="71"/>
      <c r="C29" s="71"/>
      <c r="D29" s="71"/>
      <c r="E29" s="71"/>
      <c r="F29" s="71"/>
      <c r="J29" s="71"/>
      <c r="K29" s="71"/>
      <c r="L29" s="71"/>
      <c r="M29" s="71"/>
      <c r="N29" s="71"/>
      <c r="W29" s="51"/>
      <c r="X29" s="51"/>
      <c r="Y29" s="51"/>
      <c r="Z29" s="51"/>
      <c r="AC29" s="51"/>
      <c r="AD29" s="51"/>
      <c r="AE29" s="51"/>
      <c r="AF29" s="51"/>
      <c r="AI29" s="51"/>
      <c r="AJ29" s="51"/>
      <c r="AK29" s="51"/>
      <c r="AL29" s="51"/>
    </row>
    <row r="30" spans="2:38" x14ac:dyDescent="0.2">
      <c r="B30" s="71"/>
      <c r="C30" s="71"/>
      <c r="D30" s="71"/>
      <c r="E30" s="71"/>
      <c r="F30" s="71"/>
      <c r="J30" s="71"/>
      <c r="K30" s="71"/>
      <c r="L30" s="71"/>
      <c r="M30" s="71"/>
      <c r="N30" s="71"/>
    </row>
    <row r="31" spans="2:38" ht="33" customHeight="1" x14ac:dyDescent="0.2">
      <c r="B31" s="81"/>
      <c r="C31" s="82"/>
      <c r="D31" s="82"/>
      <c r="E31" s="82"/>
      <c r="F31" s="83"/>
      <c r="G31" s="56"/>
      <c r="J31" s="81"/>
      <c r="K31" s="82"/>
      <c r="L31" s="82"/>
      <c r="M31" s="82"/>
      <c r="N31" s="83"/>
      <c r="O31" s="56"/>
    </row>
    <row r="32" spans="2:38" ht="33" customHeight="1" x14ac:dyDescent="0.2">
      <c r="B32" s="84"/>
      <c r="C32" s="85"/>
      <c r="D32" s="85"/>
      <c r="E32" s="85"/>
      <c r="F32" s="86"/>
      <c r="G32" s="57"/>
      <c r="J32" s="84"/>
      <c r="K32" s="85"/>
      <c r="L32" s="85"/>
      <c r="M32" s="85"/>
      <c r="N32" s="86"/>
      <c r="O32" s="57"/>
      <c r="W32" s="53"/>
      <c r="X32" s="53"/>
      <c r="Y32" s="53"/>
      <c r="Z32" s="53"/>
      <c r="AC32" s="53"/>
      <c r="AD32" s="53"/>
      <c r="AE32" s="53"/>
      <c r="AF32" s="53"/>
      <c r="AI32" s="53"/>
      <c r="AJ32" s="53"/>
      <c r="AK32" s="53"/>
      <c r="AL32" s="53"/>
    </row>
    <row r="33" spans="23:38" ht="13.9" customHeight="1" x14ac:dyDescent="0.2">
      <c r="W33" s="53"/>
      <c r="X33" s="53"/>
      <c r="Y33" s="53"/>
      <c r="Z33" s="53"/>
      <c r="AC33" s="53"/>
      <c r="AD33" s="53"/>
      <c r="AE33" s="53"/>
      <c r="AF33" s="53"/>
      <c r="AI33" s="53"/>
      <c r="AJ33" s="53"/>
      <c r="AK33" s="53"/>
      <c r="AL33" s="53"/>
    </row>
    <row r="34" spans="23:38" ht="13.9" customHeight="1" x14ac:dyDescent="0.2">
      <c r="W34" s="53"/>
      <c r="X34" s="53"/>
      <c r="Y34" s="53"/>
      <c r="Z34" s="53"/>
      <c r="AC34" s="53"/>
      <c r="AD34" s="53"/>
      <c r="AE34" s="53"/>
      <c r="AF34" s="53"/>
      <c r="AI34" s="53"/>
      <c r="AJ34" s="53"/>
      <c r="AK34" s="53"/>
      <c r="AL34" s="53"/>
    </row>
    <row r="47" spans="23:38" ht="13.9" customHeight="1" x14ac:dyDescent="0.2">
      <c r="W47" s="51"/>
      <c r="X47" s="51"/>
      <c r="Y47" s="51"/>
      <c r="Z47" s="51"/>
      <c r="AC47" s="51"/>
      <c r="AD47" s="51"/>
      <c r="AE47" s="51"/>
      <c r="AF47" s="51"/>
      <c r="AI47" s="51"/>
      <c r="AJ47" s="51"/>
      <c r="AK47" s="51"/>
      <c r="AL47" s="51"/>
    </row>
    <row r="48" spans="23:38" ht="13.9" customHeight="1" x14ac:dyDescent="0.2">
      <c r="W48" s="51"/>
      <c r="X48" s="51"/>
      <c r="Y48" s="51"/>
      <c r="Z48" s="51"/>
      <c r="AC48" s="51"/>
      <c r="AD48" s="51"/>
      <c r="AE48" s="51"/>
      <c r="AF48" s="51"/>
      <c r="AI48" s="51"/>
      <c r="AJ48" s="51"/>
      <c r="AK48" s="51"/>
      <c r="AL48" s="51"/>
    </row>
    <row r="49" spans="14:38" ht="13.9" customHeight="1" x14ac:dyDescent="0.2">
      <c r="W49" s="51"/>
      <c r="X49" s="51"/>
      <c r="Y49" s="51"/>
      <c r="Z49" s="51"/>
      <c r="AC49" s="51"/>
      <c r="AD49" s="51"/>
      <c r="AE49" s="51"/>
      <c r="AF49" s="51"/>
      <c r="AI49" s="51"/>
      <c r="AJ49" s="51"/>
      <c r="AK49" s="51"/>
      <c r="AL49" s="51"/>
    </row>
    <row r="52" spans="14:38" ht="44.25" customHeight="1" x14ac:dyDescent="0.2">
      <c r="W52" s="53"/>
      <c r="X52" s="58">
        <f>Airgauge!E6</f>
        <v>53.564</v>
      </c>
      <c r="Y52" s="59"/>
      <c r="Z52" s="53"/>
      <c r="AC52" s="58">
        <f>Airgauge!E7</f>
        <v>48.164999999999999</v>
      </c>
      <c r="AD52" s="59"/>
      <c r="AE52" s="53"/>
      <c r="AF52" s="53"/>
      <c r="AH52" s="58">
        <f>Airgauge!E8</f>
        <v>51.703000000000003</v>
      </c>
      <c r="AI52" s="59"/>
      <c r="AJ52" s="53"/>
      <c r="AK52" s="53"/>
      <c r="AL52" s="53"/>
    </row>
    <row r="53" spans="14:38" ht="21" customHeight="1" x14ac:dyDescent="0.2">
      <c r="W53" s="53"/>
      <c r="X53" s="60"/>
      <c r="Y53" s="61"/>
      <c r="Z53" s="53"/>
      <c r="AC53" s="60"/>
      <c r="AD53" s="61"/>
      <c r="AE53" s="53"/>
      <c r="AF53" s="53"/>
      <c r="AH53" s="60"/>
      <c r="AI53" s="61"/>
      <c r="AJ53" s="53"/>
      <c r="AK53" s="53"/>
      <c r="AL53" s="53"/>
    </row>
    <row r="54" spans="14:38" ht="13.9" customHeight="1" x14ac:dyDescent="0.2">
      <c r="W54" s="53"/>
      <c r="X54" s="62"/>
      <c r="Y54" s="63"/>
      <c r="Z54" s="53"/>
      <c r="AC54" s="62"/>
      <c r="AD54" s="63"/>
      <c r="AE54" s="53"/>
      <c r="AF54" s="53"/>
      <c r="AH54" s="62"/>
      <c r="AI54" s="63"/>
      <c r="AJ54" s="53"/>
      <c r="AK54" s="53"/>
      <c r="AL54" s="53"/>
    </row>
    <row r="63" spans="14:38" ht="13.9" customHeight="1" x14ac:dyDescent="0.2">
      <c r="N63" s="72"/>
    </row>
    <row r="64" spans="14:38" ht="13.9" customHeight="1" x14ac:dyDescent="0.2">
      <c r="N64" s="72"/>
    </row>
    <row r="65" spans="14:35" ht="13.9" customHeight="1" x14ac:dyDescent="0.2">
      <c r="N65" s="72"/>
    </row>
    <row r="66" spans="14:35" x14ac:dyDescent="0.2">
      <c r="N66" s="72"/>
    </row>
    <row r="67" spans="14:35" x14ac:dyDescent="0.2">
      <c r="N67" s="72"/>
    </row>
    <row r="68" spans="14:35" x14ac:dyDescent="0.2">
      <c r="N68" s="72"/>
    </row>
    <row r="69" spans="14:35" x14ac:dyDescent="0.2">
      <c r="N69" s="72"/>
    </row>
    <row r="70" spans="14:35" x14ac:dyDescent="0.2">
      <c r="N70" s="72"/>
    </row>
    <row r="71" spans="14:35" x14ac:dyDescent="0.2">
      <c r="N71" s="72"/>
    </row>
    <row r="72" spans="14:35" x14ac:dyDescent="0.2">
      <c r="N72" s="72"/>
    </row>
    <row r="73" spans="14:35" x14ac:dyDescent="0.2">
      <c r="N73" s="72"/>
    </row>
    <row r="74" spans="14:35" ht="14.25" customHeight="1" x14ac:dyDescent="0.2">
      <c r="N74" s="72"/>
    </row>
    <row r="75" spans="14:35" ht="45.75" customHeight="1" x14ac:dyDescent="0.2">
      <c r="N75" s="72"/>
      <c r="X75" s="58">
        <f>Airgauge!E9</f>
        <v>60.5</v>
      </c>
      <c r="Y75" s="59"/>
      <c r="AC75" s="58">
        <f>Airgauge!E10</f>
        <v>141.03200000000001</v>
      </c>
      <c r="AD75" s="59"/>
      <c r="AH75" s="58">
        <f>Airgauge!E11</f>
        <v>43.798000000000002</v>
      </c>
      <c r="AI75" s="59"/>
    </row>
    <row r="76" spans="14:35" ht="14.25" customHeight="1" x14ac:dyDescent="0.2">
      <c r="N76" s="72"/>
      <c r="X76" s="60"/>
      <c r="Y76" s="61"/>
      <c r="AC76" s="60"/>
      <c r="AD76" s="61"/>
      <c r="AH76" s="60"/>
      <c r="AI76" s="61"/>
    </row>
    <row r="77" spans="14:35" x14ac:dyDescent="0.2">
      <c r="N77" s="72"/>
      <c r="X77" s="62"/>
      <c r="Y77" s="63"/>
      <c r="AC77" s="62"/>
      <c r="AD77" s="63"/>
      <c r="AH77" s="62"/>
      <c r="AI77" s="63"/>
    </row>
    <row r="78" spans="14:35" x14ac:dyDescent="0.2">
      <c r="N78" s="72"/>
    </row>
    <row r="79" spans="14:35" x14ac:dyDescent="0.2">
      <c r="N79" s="72"/>
    </row>
    <row r="80" spans="14:35" x14ac:dyDescent="0.2">
      <c r="N80" s="72"/>
    </row>
  </sheetData>
  <sheetProtection algorithmName="SHA-512" hashValue="0Z9532eeqlua9jqOE6VcR7dK/V9KzNF4CtPMAtvRKF7BjsfDsLtQKplgTn3U7EQJrfiVQPp60gDDZOJ6DxaeFw==" saltValue="iwr1fS1lqteJvkRzEg4Csw==" spinCount="100000" sheet="1" objects="1" scenarios="1" selectLockedCells="1"/>
  <mergeCells count="28">
    <mergeCell ref="W4:AM4"/>
    <mergeCell ref="Y13:AB13"/>
    <mergeCell ref="AC52:AD54"/>
    <mergeCell ref="AX7:AX11"/>
    <mergeCell ref="AX12:AX16"/>
    <mergeCell ref="Q25:S25"/>
    <mergeCell ref="P5:S6"/>
    <mergeCell ref="J29:N30"/>
    <mergeCell ref="N78:N80"/>
    <mergeCell ref="B4:S4"/>
    <mergeCell ref="B5:O5"/>
    <mergeCell ref="B6:O6"/>
    <mergeCell ref="B18:S18"/>
    <mergeCell ref="N63:N65"/>
    <mergeCell ref="N66:N68"/>
    <mergeCell ref="N69:N71"/>
    <mergeCell ref="N72:N74"/>
    <mergeCell ref="N75:N77"/>
    <mergeCell ref="B31:F32"/>
    <mergeCell ref="J31:N32"/>
    <mergeCell ref="B29:F30"/>
    <mergeCell ref="O31:O32"/>
    <mergeCell ref="G31:G32"/>
    <mergeCell ref="X75:Y77"/>
    <mergeCell ref="AC75:AD77"/>
    <mergeCell ref="AH75:AI77"/>
    <mergeCell ref="X52:Y54"/>
    <mergeCell ref="AH52:AI54"/>
  </mergeCells>
  <phoneticPr fontId="2" type="noConversion"/>
  <conditionalFormatting sqref="P5">
    <cfRule type="expression" dxfId="18" priority="34">
      <formula>B5=""</formula>
    </cfRule>
    <cfRule type="cellIs" dxfId="17" priority="35" operator="equal">
      <formula>"NG"</formula>
    </cfRule>
    <cfRule type="cellIs" dxfId="16" priority="36" operator="equal">
      <formula>"OK"</formula>
    </cfRule>
  </conditionalFormatting>
  <conditionalFormatting sqref="G31:G32">
    <cfRule type="cellIs" dxfId="15" priority="3" operator="equal">
      <formula>"NG"</formula>
    </cfRule>
    <cfRule type="cellIs" dxfId="14" priority="4" operator="equal">
      <formula>"OK"</formula>
    </cfRule>
  </conditionalFormatting>
  <conditionalFormatting sqref="O31:O32">
    <cfRule type="cellIs" dxfId="13" priority="1" operator="equal">
      <formula>"NG"</formula>
    </cfRule>
    <cfRule type="cellIs" dxfId="12" priority="2" operator="equal">
      <formula>"OK"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" id="{27640B99-620E-4155-AD5C-B18DC4DAB9FE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$I$6</xm:f>
              </x14:cfvo>
              <x14:cfvo type="num" gte="0">
                <xm:f>$H$6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N63</xm:sqref>
        </x14:conditionalFormatting>
        <x14:conditionalFormatting xmlns:xm="http://schemas.microsoft.com/office/excel/2006/main">
          <x14:cfRule type="iconSet" priority="11" id="{1256EC0A-7AA5-43C4-8B31-F4B0121E1938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$I$7</xm:f>
              </x14:cfvo>
              <x14:cfvo type="num" gte="0">
                <xm:f>$H$7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N66</xm:sqref>
        </x14:conditionalFormatting>
        <x14:conditionalFormatting xmlns:xm="http://schemas.microsoft.com/office/excel/2006/main">
          <x14:cfRule type="iconSet" priority="10" id="{2D609C66-9164-4553-9382-8679BD7E779E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$I$8</xm:f>
              </x14:cfvo>
              <x14:cfvo type="num" gte="0">
                <xm:f>$H$8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N69</xm:sqref>
        </x14:conditionalFormatting>
        <x14:conditionalFormatting xmlns:xm="http://schemas.microsoft.com/office/excel/2006/main">
          <x14:cfRule type="iconSet" priority="9" id="{1E01DE6B-7F6E-454C-905B-2E7BB04E758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$I$9</xm:f>
              </x14:cfvo>
              <x14:cfvo type="num" gte="0">
                <xm:f>$H$9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N72</xm:sqref>
        </x14:conditionalFormatting>
        <x14:conditionalFormatting xmlns:xm="http://schemas.microsoft.com/office/excel/2006/main">
          <x14:cfRule type="iconSet" priority="8" id="{8B9E1E22-98FC-42E2-9C97-D757C566FE49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$I$10</xm:f>
              </x14:cfvo>
              <x14:cfvo type="num" gte="0">
                <xm:f>$H$10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N75</xm:sqref>
        </x14:conditionalFormatting>
        <x14:conditionalFormatting xmlns:xm="http://schemas.microsoft.com/office/excel/2006/main">
          <x14:cfRule type="iconSet" priority="7" id="{3385294B-953E-4B88-9EF1-C508936E2ED4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$I$11</xm:f>
              </x14:cfvo>
              <x14:cfvo type="num" gte="0">
                <xm:f>$H$11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N78</xm:sqref>
        </x14:conditionalFormatting>
        <x14:conditionalFormatting xmlns:xm="http://schemas.microsoft.com/office/excel/2006/main">
          <x14:cfRule type="iconSet" priority="6" id="{A3ADDB07-B953-4E78-BB50-D29FBD7656E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4.5</xm:f>
              </x14:cfvo>
              <x14:cfvo type="num" gte="0">
                <xm:f>4.82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AX7</xm:sqref>
        </x14:conditionalFormatting>
        <x14:conditionalFormatting xmlns:xm="http://schemas.microsoft.com/office/excel/2006/main">
          <x14:cfRule type="iconSet" priority="5" id="{806E6EB0-D6C6-4709-A654-C9F4F412EB9C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5.5</xm:f>
              </x14:cfvo>
              <x14:cfvo type="num" gte="0">
                <xm:f>5.58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AX12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68"/>
  <sheetViews>
    <sheetView showGridLines="0" tabSelected="1" zoomScale="70" zoomScaleNormal="70" workbookViewId="0">
      <selection activeCell="B51" sqref="B51:B53"/>
    </sheetView>
  </sheetViews>
  <sheetFormatPr defaultRowHeight="14.25" x14ac:dyDescent="0.2"/>
  <cols>
    <col min="1" max="1" width="6.625" style="1" customWidth="1"/>
    <col min="2" max="2" width="8.875" style="2" customWidth="1"/>
    <col min="3" max="3" width="10.25" style="1" customWidth="1"/>
    <col min="4" max="4" width="10" style="1" customWidth="1"/>
    <col min="5" max="5" width="10.125" style="1" customWidth="1"/>
    <col min="6" max="6" width="15.625" style="1" customWidth="1"/>
    <col min="7" max="7" width="13.125" style="1" customWidth="1"/>
  </cols>
  <sheetData>
    <row r="1" spans="1:13" s="14" customFormat="1" ht="75" customHeight="1" x14ac:dyDescent="1.35">
      <c r="A1" s="10"/>
      <c r="B1" s="11"/>
      <c r="C1" s="11"/>
      <c r="D1" s="11"/>
      <c r="E1" s="11"/>
      <c r="F1" s="11"/>
      <c r="G1" s="12"/>
      <c r="H1" s="11"/>
      <c r="I1" s="13"/>
      <c r="J1" s="13"/>
      <c r="K1" s="13"/>
      <c r="L1" s="13"/>
      <c r="M1" s="13"/>
    </row>
    <row r="2" spans="1:13" s="8" customFormat="1" ht="29.25" customHeight="1" x14ac:dyDescent="0.3">
      <c r="A2" s="15"/>
      <c r="B2" s="16"/>
      <c r="C2" s="16"/>
      <c r="D2" s="16"/>
      <c r="E2" s="17"/>
      <c r="F2" s="17"/>
      <c r="G2" s="16"/>
      <c r="H2" s="18"/>
      <c r="I2" s="7"/>
      <c r="J2" s="7"/>
      <c r="K2" s="7"/>
      <c r="L2" s="7"/>
      <c r="M2" s="7"/>
    </row>
    <row r="4" spans="1:13" s="6" customFormat="1" ht="33.75" customHeight="1" x14ac:dyDescent="0.25">
      <c r="A4" s="91" t="s">
        <v>12</v>
      </c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  <c r="M4" s="9"/>
    </row>
    <row r="5" spans="1:13" ht="25.5" customHeight="1" x14ac:dyDescent="0.2">
      <c r="A5" s="4" t="s">
        <v>10</v>
      </c>
      <c r="B5" s="5" t="s">
        <v>0</v>
      </c>
      <c r="C5" s="4" t="s">
        <v>1</v>
      </c>
      <c r="D5" s="4" t="s">
        <v>2</v>
      </c>
      <c r="E5" s="4" t="s">
        <v>3</v>
      </c>
      <c r="F5" s="4" t="s">
        <v>8</v>
      </c>
      <c r="G5" s="4" t="s">
        <v>13</v>
      </c>
      <c r="H5" s="4" t="s">
        <v>6</v>
      </c>
      <c r="I5" s="4" t="s">
        <v>7</v>
      </c>
      <c r="J5" s="23" t="s">
        <v>14</v>
      </c>
    </row>
    <row r="6" spans="1:13" ht="20.100000000000001" customHeight="1" x14ac:dyDescent="0.2">
      <c r="A6" s="1">
        <v>1</v>
      </c>
      <c r="B6" s="2">
        <v>50</v>
      </c>
      <c r="C6" s="2">
        <v>5.6000000000000001E-2</v>
      </c>
      <c r="D6" s="2">
        <v>3.1E-2</v>
      </c>
      <c r="E6" s="35">
        <v>53.564</v>
      </c>
      <c r="H6" s="3">
        <f t="shared" ref="H6:I11" si="0">$B6+C6</f>
        <v>50.055999999999997</v>
      </c>
      <c r="I6" s="3">
        <f t="shared" si="0"/>
        <v>50.030999999999999</v>
      </c>
      <c r="J6" s="1"/>
    </row>
    <row r="7" spans="1:13" ht="20.100000000000001" customHeight="1" x14ac:dyDescent="0.2">
      <c r="A7" s="1">
        <v>2</v>
      </c>
      <c r="B7" s="2">
        <v>49.6</v>
      </c>
      <c r="C7" s="2">
        <v>2.5000000000000001E-2</v>
      </c>
      <c r="D7" s="2">
        <v>0</v>
      </c>
      <c r="E7" s="35">
        <v>48.164999999999999</v>
      </c>
      <c r="H7" s="3">
        <f t="shared" si="0"/>
        <v>49.625</v>
      </c>
      <c r="I7" s="3">
        <f t="shared" si="0"/>
        <v>49.6</v>
      </c>
      <c r="J7" s="1"/>
    </row>
    <row r="8" spans="1:13" ht="20.100000000000001" customHeight="1" x14ac:dyDescent="0.2">
      <c r="A8" s="1">
        <v>3</v>
      </c>
      <c r="B8" s="2">
        <v>50</v>
      </c>
      <c r="C8" s="2">
        <v>5.6000000000000001E-2</v>
      </c>
      <c r="D8" s="2">
        <v>3.1E-2</v>
      </c>
      <c r="E8" s="35">
        <v>51.703000000000003</v>
      </c>
      <c r="H8" s="3">
        <f t="shared" si="0"/>
        <v>50.055999999999997</v>
      </c>
      <c r="I8" s="3">
        <f t="shared" si="0"/>
        <v>50.030999999999999</v>
      </c>
      <c r="J8" s="1"/>
    </row>
    <row r="9" spans="1:13" ht="20.100000000000001" customHeight="1" x14ac:dyDescent="0.2">
      <c r="A9" s="1">
        <v>4</v>
      </c>
      <c r="B9" s="2">
        <v>60</v>
      </c>
      <c r="C9" s="2">
        <v>-0.06</v>
      </c>
      <c r="D9" s="2">
        <v>-0.09</v>
      </c>
      <c r="E9" s="35">
        <v>60.5</v>
      </c>
      <c r="H9" s="3">
        <f t="shared" si="0"/>
        <v>59.94</v>
      </c>
      <c r="I9" s="3">
        <f t="shared" si="0"/>
        <v>59.91</v>
      </c>
      <c r="J9" s="1"/>
    </row>
    <row r="10" spans="1:13" ht="20.100000000000001" customHeight="1" x14ac:dyDescent="0.2">
      <c r="A10" s="1">
        <v>5</v>
      </c>
      <c r="B10" s="2">
        <v>141</v>
      </c>
      <c r="C10" s="2">
        <v>0</v>
      </c>
      <c r="D10" s="2">
        <v>-0.04</v>
      </c>
      <c r="E10" s="35">
        <v>141.03200000000001</v>
      </c>
      <c r="H10" s="3">
        <f t="shared" si="0"/>
        <v>141</v>
      </c>
      <c r="I10" s="3">
        <f t="shared" si="0"/>
        <v>140.96</v>
      </c>
      <c r="J10" s="1"/>
    </row>
    <row r="11" spans="1:13" ht="20.100000000000001" customHeight="1" x14ac:dyDescent="0.2">
      <c r="A11" s="1">
        <v>6</v>
      </c>
      <c r="B11" s="2">
        <v>43.8</v>
      </c>
      <c r="C11" s="2">
        <v>2.5000000000000001E-2</v>
      </c>
      <c r="D11" s="2">
        <v>0</v>
      </c>
      <c r="E11" s="35">
        <v>43.798000000000002</v>
      </c>
      <c r="H11" s="3">
        <f t="shared" si="0"/>
        <v>43.824999999999996</v>
      </c>
      <c r="I11" s="3">
        <f t="shared" si="0"/>
        <v>43.8</v>
      </c>
      <c r="J11" s="1">
        <v>43.835000000000001</v>
      </c>
    </row>
    <row r="13" spans="1:13" ht="15" customHeight="1" x14ac:dyDescent="0.2">
      <c r="B13" s="33"/>
      <c r="C13" s="33"/>
      <c r="D13" s="33"/>
      <c r="E13" s="33"/>
      <c r="F13" s="32"/>
      <c r="G13" s="34"/>
    </row>
    <row r="14" spans="1:13" ht="15" customHeight="1" x14ac:dyDescent="0.2">
      <c r="B14" s="33"/>
      <c r="C14" s="33"/>
      <c r="D14" s="33"/>
      <c r="E14" s="33"/>
      <c r="F14" s="32"/>
      <c r="G14" s="34"/>
    </row>
    <row r="15" spans="1:13" ht="15" customHeight="1" x14ac:dyDescent="0.2">
      <c r="B15" s="33"/>
      <c r="C15" s="33"/>
      <c r="D15" s="33"/>
      <c r="E15" s="33"/>
    </row>
    <row r="16" spans="1:13" ht="26.25" customHeight="1" x14ac:dyDescent="0.2">
      <c r="B16" s="33"/>
      <c r="C16" s="33"/>
    </row>
    <row r="17" spans="2:3" ht="15" customHeight="1" x14ac:dyDescent="0.2">
      <c r="B17" s="33"/>
      <c r="C17" s="33"/>
    </row>
    <row r="51" spans="2:4" ht="14.25" customHeight="1" x14ac:dyDescent="0.2">
      <c r="B51" s="90">
        <f>E6</f>
        <v>53.564</v>
      </c>
      <c r="C51" s="36"/>
      <c r="D51" s="37"/>
    </row>
    <row r="52" spans="2:4" ht="14.25" customHeight="1" x14ac:dyDescent="0.2">
      <c r="B52" s="90"/>
      <c r="C52" s="37"/>
      <c r="D52" s="37"/>
    </row>
    <row r="53" spans="2:4" ht="14.25" customHeight="1" x14ac:dyDescent="0.2">
      <c r="B53" s="90"/>
      <c r="C53" s="37"/>
      <c r="D53" s="37"/>
    </row>
    <row r="54" spans="2:4" ht="14.25" customHeight="1" x14ac:dyDescent="0.2">
      <c r="B54" s="90">
        <f>E7</f>
        <v>48.164999999999999</v>
      </c>
      <c r="C54" s="37"/>
      <c r="D54" s="37"/>
    </row>
    <row r="55" spans="2:4" ht="14.25" customHeight="1" x14ac:dyDescent="0.2">
      <c r="B55" s="90"/>
      <c r="C55" s="37"/>
      <c r="D55" s="37"/>
    </row>
    <row r="56" spans="2:4" ht="14.25" customHeight="1" x14ac:dyDescent="0.2">
      <c r="B56" s="90"/>
      <c r="C56" s="37"/>
      <c r="D56" s="37"/>
    </row>
    <row r="57" spans="2:4" x14ac:dyDescent="0.2">
      <c r="B57" s="90">
        <f>E8</f>
        <v>51.703000000000003</v>
      </c>
    </row>
    <row r="58" spans="2:4" x14ac:dyDescent="0.2">
      <c r="B58" s="90"/>
    </row>
    <row r="59" spans="2:4" x14ac:dyDescent="0.2">
      <c r="B59" s="90"/>
    </row>
    <row r="60" spans="2:4" x14ac:dyDescent="0.2">
      <c r="B60" s="90">
        <f>E9</f>
        <v>60.5</v>
      </c>
    </row>
    <row r="61" spans="2:4" x14ac:dyDescent="0.2">
      <c r="B61" s="90"/>
    </row>
    <row r="62" spans="2:4" x14ac:dyDescent="0.2">
      <c r="B62" s="90"/>
    </row>
    <row r="63" spans="2:4" x14ac:dyDescent="0.2">
      <c r="B63" s="90">
        <f>E10</f>
        <v>141.03200000000001</v>
      </c>
    </row>
    <row r="64" spans="2:4" x14ac:dyDescent="0.2">
      <c r="B64" s="90"/>
    </row>
    <row r="65" spans="2:2" x14ac:dyDescent="0.2">
      <c r="B65" s="90"/>
    </row>
    <row r="66" spans="2:2" x14ac:dyDescent="0.2">
      <c r="B66" s="90">
        <f>E11</f>
        <v>43.798000000000002</v>
      </c>
    </row>
    <row r="67" spans="2:2" x14ac:dyDescent="0.2">
      <c r="B67" s="90"/>
    </row>
    <row r="68" spans="2:2" x14ac:dyDescent="0.2">
      <c r="B68" s="90"/>
    </row>
  </sheetData>
  <mergeCells count="7">
    <mergeCell ref="B57:B59"/>
    <mergeCell ref="B60:B62"/>
    <mergeCell ref="B63:B65"/>
    <mergeCell ref="B66:B68"/>
    <mergeCell ref="A4:L4"/>
    <mergeCell ref="B51:B53"/>
    <mergeCell ref="B54:B56"/>
  </mergeCells>
  <conditionalFormatting sqref="E6:E11">
    <cfRule type="cellIs" dxfId="11" priority="20" operator="notBetween">
      <formula>$H6</formula>
      <formula>$I6</formula>
    </cfRule>
    <cfRule type="cellIs" dxfId="10" priority="21" operator="between">
      <formula>$H6</formula>
      <formula>$I6</formula>
    </cfRule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9C675B07-7A90-468E-968F-C109883C01CC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$I$6</xm:f>
              </x14:cfvo>
              <x14:cfvo type="num" gte="0">
                <xm:f>$H$6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B51</xm:sqref>
        </x14:conditionalFormatting>
        <x14:conditionalFormatting xmlns:xm="http://schemas.microsoft.com/office/excel/2006/main">
          <x14:cfRule type="iconSet" priority="7" id="{0C8788D9-3CAF-4AFE-BBD5-57F9DB6889B9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$I$7</xm:f>
              </x14:cfvo>
              <x14:cfvo type="num" gte="0">
                <xm:f>$H$7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B54</xm:sqref>
        </x14:conditionalFormatting>
        <x14:conditionalFormatting xmlns:xm="http://schemas.microsoft.com/office/excel/2006/main">
          <x14:cfRule type="iconSet" priority="6" id="{B3498528-EEF9-4880-A56C-E7A99B5EB398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$I$8</xm:f>
              </x14:cfvo>
              <x14:cfvo type="num" gte="0">
                <xm:f>$H$8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B57</xm:sqref>
        </x14:conditionalFormatting>
        <x14:conditionalFormatting xmlns:xm="http://schemas.microsoft.com/office/excel/2006/main">
          <x14:cfRule type="iconSet" priority="5" id="{7AA3E33D-E3E7-49C8-8085-39AC6242D41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$I$9</xm:f>
              </x14:cfvo>
              <x14:cfvo type="num" gte="0">
                <xm:f>$H$9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B60</xm:sqref>
        </x14:conditionalFormatting>
        <x14:conditionalFormatting xmlns:xm="http://schemas.microsoft.com/office/excel/2006/main">
          <x14:cfRule type="iconSet" priority="4" id="{98AE9E5A-1CCA-43E7-99A0-C45FDF366CED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$I$10</xm:f>
              </x14:cfvo>
              <x14:cfvo type="num" gte="0">
                <xm:f>$H$10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B63</xm:sqref>
        </x14:conditionalFormatting>
        <x14:conditionalFormatting xmlns:xm="http://schemas.microsoft.com/office/excel/2006/main">
          <x14:cfRule type="iconSet" priority="3" id="{737B0CFD-9942-4963-93C2-B591D354DED5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$I$11</xm:f>
              </x14:cfvo>
              <x14:cfvo type="num" gte="0">
                <xm:f>$H$11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50"/>
  <sheetViews>
    <sheetView zoomScale="80" zoomScaleNormal="80" workbookViewId="0">
      <selection activeCell="B11" sqref="B11"/>
    </sheetView>
  </sheetViews>
  <sheetFormatPr defaultColWidth="9" defaultRowHeight="14.25" x14ac:dyDescent="0.2"/>
  <cols>
    <col min="1" max="1" width="4.625" style="22" customWidth="1"/>
    <col min="2" max="2" width="17.125" style="26" customWidth="1"/>
    <col min="3" max="4" width="13.625" style="26" customWidth="1"/>
    <col min="5" max="5" width="9.125" style="29" customWidth="1"/>
    <col min="6" max="7" width="9.125" style="31" customWidth="1"/>
    <col min="8" max="8" width="10.25" style="31" bestFit="1" customWidth="1"/>
    <col min="9" max="10" width="9.125" style="31" customWidth="1"/>
    <col min="11" max="11" width="9.625" style="31" customWidth="1"/>
    <col min="12" max="12" width="10.25" style="31" bestFit="1" customWidth="1"/>
    <col min="13" max="14" width="9.125" style="22" customWidth="1"/>
    <col min="15" max="15" width="8.125" style="22" bestFit="1" customWidth="1"/>
    <col min="16" max="16" width="10" style="22" bestFit="1" customWidth="1"/>
    <col min="17" max="18" width="9.125" style="22" customWidth="1"/>
    <col min="19" max="19" width="9.375" style="22" bestFit="1" customWidth="1"/>
    <col min="20" max="20" width="10" style="22" bestFit="1" customWidth="1"/>
    <col min="21" max="16384" width="9" style="21"/>
  </cols>
  <sheetData>
    <row r="1" spans="1:24" s="22" customFormat="1" x14ac:dyDescent="0.2">
      <c r="A1" s="19" t="s">
        <v>4</v>
      </c>
      <c r="B1" s="19" t="s">
        <v>5</v>
      </c>
      <c r="C1" s="19" t="s">
        <v>19</v>
      </c>
      <c r="D1" s="19" t="s">
        <v>20</v>
      </c>
      <c r="E1" s="19" t="s">
        <v>25</v>
      </c>
      <c r="F1" s="19" t="s">
        <v>26</v>
      </c>
      <c r="G1" s="19" t="s">
        <v>27</v>
      </c>
      <c r="H1" s="19" t="s">
        <v>28</v>
      </c>
      <c r="I1" s="19" t="s">
        <v>29</v>
      </c>
      <c r="J1" s="19" t="s">
        <v>30</v>
      </c>
      <c r="K1" s="19" t="s">
        <v>31</v>
      </c>
      <c r="L1" s="19" t="s">
        <v>32</v>
      </c>
      <c r="M1" s="19" t="s">
        <v>33</v>
      </c>
      <c r="N1" s="19" t="s">
        <v>34</v>
      </c>
      <c r="O1" s="19" t="s">
        <v>35</v>
      </c>
      <c r="P1" s="19" t="s">
        <v>36</v>
      </c>
      <c r="Q1" s="19" t="s">
        <v>37</v>
      </c>
      <c r="R1" s="19" t="s">
        <v>38</v>
      </c>
      <c r="S1" s="19" t="s">
        <v>39</v>
      </c>
      <c r="T1" s="19" t="s">
        <v>40</v>
      </c>
      <c r="U1" s="19" t="s">
        <v>18</v>
      </c>
      <c r="V1" s="20"/>
      <c r="W1" s="20"/>
      <c r="X1" s="20"/>
    </row>
    <row r="2" spans="1:24" x14ac:dyDescent="0.2">
      <c r="A2" s="20">
        <v>1</v>
      </c>
      <c r="B2" s="24">
        <v>46001.865266203706</v>
      </c>
      <c r="C2" s="27" t="s">
        <v>41</v>
      </c>
      <c r="D2" s="27" t="s">
        <v>41</v>
      </c>
      <c r="E2" s="28">
        <v>4.51</v>
      </c>
      <c r="F2" s="30">
        <v>5.51</v>
      </c>
      <c r="G2" s="31">
        <v>53.564</v>
      </c>
      <c r="H2" s="31">
        <v>48.164999999999999</v>
      </c>
      <c r="I2" s="31">
        <v>51.703000000000003</v>
      </c>
      <c r="J2" s="31">
        <v>60.5</v>
      </c>
      <c r="K2" s="31">
        <v>141.03200000000001</v>
      </c>
      <c r="L2" s="30">
        <v>43.798000000000002</v>
      </c>
      <c r="M2" s="20" t="s">
        <v>42</v>
      </c>
      <c r="N2" s="20" t="s">
        <v>42</v>
      </c>
      <c r="O2" s="20" t="s">
        <v>43</v>
      </c>
      <c r="P2" s="20" t="s">
        <v>43</v>
      </c>
      <c r="Q2" s="20" t="s">
        <v>43</v>
      </c>
      <c r="R2" s="20" t="s">
        <v>43</v>
      </c>
      <c r="S2" s="20" t="s">
        <v>43</v>
      </c>
      <c r="T2" s="22" t="s">
        <v>43</v>
      </c>
    </row>
    <row r="3" spans="1:24" x14ac:dyDescent="0.2">
      <c r="A3" s="20"/>
      <c r="B3" s="24"/>
      <c r="C3" s="27"/>
      <c r="D3" s="27"/>
      <c r="E3" s="28"/>
      <c r="F3" s="30"/>
      <c r="G3" s="30"/>
      <c r="H3" s="30"/>
      <c r="I3" s="30"/>
      <c r="J3" s="30"/>
      <c r="K3" s="30"/>
      <c r="L3" s="30"/>
      <c r="M3" s="20"/>
      <c r="N3" s="20"/>
      <c r="O3" s="20"/>
      <c r="P3" s="20"/>
      <c r="Q3" s="20"/>
      <c r="R3" s="20"/>
      <c r="S3" s="20"/>
    </row>
    <row r="4" spans="1:24" x14ac:dyDescent="0.2">
      <c r="A4" s="20"/>
      <c r="B4" s="24"/>
      <c r="C4" s="27"/>
      <c r="D4" s="27"/>
      <c r="E4" s="28"/>
      <c r="F4" s="30"/>
      <c r="G4" s="30"/>
      <c r="H4" s="30"/>
      <c r="I4" s="30"/>
      <c r="J4" s="30"/>
      <c r="K4" s="30"/>
      <c r="L4" s="30"/>
      <c r="M4" s="20"/>
      <c r="N4" s="20"/>
      <c r="O4" s="20"/>
      <c r="P4" s="20"/>
      <c r="Q4" s="20"/>
      <c r="R4" s="20"/>
      <c r="S4" s="20"/>
    </row>
    <row r="5" spans="1:24" x14ac:dyDescent="0.2">
      <c r="A5" s="20"/>
      <c r="B5" s="24"/>
      <c r="C5" s="27"/>
      <c r="D5" s="27"/>
      <c r="E5" s="28"/>
      <c r="F5" s="30"/>
      <c r="G5" s="30"/>
      <c r="H5" s="30"/>
      <c r="I5" s="30"/>
      <c r="J5" s="30"/>
      <c r="K5" s="30"/>
      <c r="L5" s="30"/>
      <c r="M5" s="20"/>
      <c r="N5" s="20"/>
      <c r="O5" s="20"/>
      <c r="P5" s="20"/>
      <c r="Q5" s="20"/>
      <c r="R5" s="20"/>
      <c r="S5" s="20"/>
    </row>
    <row r="6" spans="1:24" x14ac:dyDescent="0.2">
      <c r="A6" s="20"/>
      <c r="B6" s="24"/>
      <c r="C6" s="27"/>
      <c r="D6" s="27"/>
      <c r="E6" s="28"/>
      <c r="F6" s="30"/>
      <c r="G6" s="30"/>
      <c r="H6" s="30"/>
      <c r="I6" s="30"/>
      <c r="J6" s="30"/>
      <c r="K6" s="30"/>
      <c r="L6" s="30"/>
      <c r="M6" s="20"/>
      <c r="N6" s="20"/>
      <c r="O6" s="20"/>
      <c r="P6" s="20"/>
      <c r="Q6" s="20"/>
      <c r="R6" s="20"/>
      <c r="S6" s="20"/>
    </row>
    <row r="7" spans="1:24" x14ac:dyDescent="0.2">
      <c r="A7" s="20"/>
      <c r="B7" s="24"/>
      <c r="C7" s="27"/>
      <c r="D7" s="27"/>
      <c r="E7" s="28"/>
      <c r="F7" s="30"/>
      <c r="G7" s="30"/>
      <c r="H7" s="30"/>
      <c r="I7" s="30"/>
      <c r="J7" s="30"/>
      <c r="K7" s="30"/>
      <c r="L7" s="30"/>
      <c r="M7" s="20"/>
      <c r="N7" s="20"/>
      <c r="O7" s="20"/>
      <c r="P7" s="20"/>
      <c r="Q7" s="20"/>
      <c r="R7" s="20"/>
      <c r="S7" s="20"/>
    </row>
    <row r="8" spans="1:24" x14ac:dyDescent="0.2">
      <c r="A8" s="20"/>
      <c r="B8" s="24"/>
      <c r="C8" s="27"/>
      <c r="D8" s="27"/>
      <c r="E8" s="28"/>
      <c r="F8" s="30"/>
      <c r="G8" s="30"/>
      <c r="H8" s="30"/>
      <c r="I8" s="30"/>
      <c r="J8" s="30"/>
      <c r="K8" s="30"/>
      <c r="L8" s="30"/>
      <c r="M8" s="20"/>
      <c r="N8" s="20"/>
      <c r="O8" s="20"/>
      <c r="P8" s="20"/>
      <c r="Q8" s="20"/>
      <c r="R8" s="20"/>
      <c r="S8" s="20"/>
    </row>
    <row r="9" spans="1:24" x14ac:dyDescent="0.2">
      <c r="A9" s="20"/>
      <c r="B9" s="24"/>
      <c r="C9" s="27"/>
      <c r="D9" s="27"/>
      <c r="E9" s="28"/>
      <c r="F9" s="30"/>
      <c r="G9" s="30"/>
      <c r="H9" s="30"/>
      <c r="I9" s="30"/>
      <c r="J9" s="30"/>
      <c r="K9" s="30"/>
      <c r="L9" s="30"/>
      <c r="M9" s="20"/>
      <c r="N9" s="20"/>
    </row>
    <row r="10" spans="1:24" x14ac:dyDescent="0.2">
      <c r="A10" s="20"/>
      <c r="B10" s="24"/>
      <c r="C10" s="27"/>
      <c r="D10" s="27"/>
      <c r="E10" s="28"/>
      <c r="F10" s="30"/>
      <c r="G10" s="30"/>
      <c r="H10" s="30"/>
      <c r="I10" s="30"/>
      <c r="J10" s="30"/>
      <c r="K10" s="30"/>
      <c r="L10" s="30"/>
      <c r="M10" s="20"/>
      <c r="N10" s="20"/>
    </row>
    <row r="11" spans="1:24" x14ac:dyDescent="0.2">
      <c r="B11" s="25"/>
    </row>
    <row r="12" spans="1:24" x14ac:dyDescent="0.2">
      <c r="B12" s="25"/>
    </row>
    <row r="13" spans="1:24" x14ac:dyDescent="0.2">
      <c r="B13" s="25"/>
    </row>
    <row r="14" spans="1:24" x14ac:dyDescent="0.2">
      <c r="B14" s="25"/>
    </row>
    <row r="15" spans="1:24" x14ac:dyDescent="0.2">
      <c r="B15" s="25"/>
    </row>
    <row r="16" spans="1:24" x14ac:dyDescent="0.2">
      <c r="B16" s="25"/>
    </row>
    <row r="17" spans="2:2" x14ac:dyDescent="0.2">
      <c r="B17" s="25"/>
    </row>
    <row r="18" spans="2:2" x14ac:dyDescent="0.2">
      <c r="B18" s="25"/>
    </row>
    <row r="19" spans="2:2" x14ac:dyDescent="0.2">
      <c r="B19" s="25"/>
    </row>
    <row r="20" spans="2:2" x14ac:dyDescent="0.2">
      <c r="B20" s="25"/>
    </row>
    <row r="21" spans="2:2" x14ac:dyDescent="0.2">
      <c r="B21" s="25"/>
    </row>
    <row r="22" spans="2:2" x14ac:dyDescent="0.2">
      <c r="B22" s="25"/>
    </row>
    <row r="23" spans="2:2" x14ac:dyDescent="0.2">
      <c r="B23" s="25"/>
    </row>
    <row r="24" spans="2:2" x14ac:dyDescent="0.2">
      <c r="B24" s="25"/>
    </row>
    <row r="25" spans="2:2" x14ac:dyDescent="0.2">
      <c r="B25" s="25"/>
    </row>
    <row r="26" spans="2:2" x14ac:dyDescent="0.2">
      <c r="B26" s="25"/>
    </row>
    <row r="27" spans="2:2" x14ac:dyDescent="0.2">
      <c r="B27" s="25"/>
    </row>
    <row r="28" spans="2:2" x14ac:dyDescent="0.2">
      <c r="B28" s="25"/>
    </row>
    <row r="29" spans="2:2" x14ac:dyDescent="0.2">
      <c r="B29" s="25"/>
    </row>
    <row r="30" spans="2:2" x14ac:dyDescent="0.2">
      <c r="B30" s="25"/>
    </row>
    <row r="31" spans="2:2" x14ac:dyDescent="0.2">
      <c r="B31" s="25"/>
    </row>
    <row r="32" spans="2:2" x14ac:dyDescent="0.2">
      <c r="B32" s="25"/>
    </row>
    <row r="33" spans="2:2" x14ac:dyDescent="0.2">
      <c r="B33" s="25"/>
    </row>
    <row r="34" spans="2:2" x14ac:dyDescent="0.2">
      <c r="B34" s="25"/>
    </row>
    <row r="35" spans="2:2" x14ac:dyDescent="0.2">
      <c r="B35" s="25"/>
    </row>
    <row r="36" spans="2:2" x14ac:dyDescent="0.2">
      <c r="B36" s="25"/>
    </row>
    <row r="37" spans="2:2" x14ac:dyDescent="0.2">
      <c r="B37" s="25"/>
    </row>
    <row r="38" spans="2:2" x14ac:dyDescent="0.2">
      <c r="B38" s="25"/>
    </row>
    <row r="39" spans="2:2" x14ac:dyDescent="0.2">
      <c r="B39" s="25"/>
    </row>
    <row r="40" spans="2:2" x14ac:dyDescent="0.2">
      <c r="B40" s="25"/>
    </row>
    <row r="41" spans="2:2" x14ac:dyDescent="0.2">
      <c r="B41" s="25"/>
    </row>
    <row r="42" spans="2:2" x14ac:dyDescent="0.2">
      <c r="B42" s="25"/>
    </row>
    <row r="43" spans="2:2" x14ac:dyDescent="0.2">
      <c r="B43" s="25"/>
    </row>
    <row r="44" spans="2:2" x14ac:dyDescent="0.2">
      <c r="B44" s="25"/>
    </row>
    <row r="45" spans="2:2" x14ac:dyDescent="0.2">
      <c r="B45" s="25"/>
    </row>
    <row r="46" spans="2:2" x14ac:dyDescent="0.2">
      <c r="B46" s="25"/>
    </row>
    <row r="47" spans="2:2" x14ac:dyDescent="0.2">
      <c r="B47" s="25"/>
    </row>
    <row r="48" spans="2:2" x14ac:dyDescent="0.2">
      <c r="B48" s="25"/>
    </row>
    <row r="49" spans="2:2" x14ac:dyDescent="0.2">
      <c r="B49" s="25"/>
    </row>
    <row r="50" spans="2:2" x14ac:dyDescent="0.2">
      <c r="B50" s="25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1"/>
  <sheetViews>
    <sheetView showRowColHeaders="0" workbookViewId="0">
      <selection activeCell="A13" sqref="A13"/>
    </sheetView>
  </sheetViews>
  <sheetFormatPr defaultRowHeight="14.25" x14ac:dyDescent="0.2"/>
  <cols>
    <col min="1" max="1" width="10.25" customWidth="1"/>
  </cols>
  <sheetData>
    <row r="1" spans="1:3" x14ac:dyDescent="0.2">
      <c r="A1" s="1" t="s">
        <v>15</v>
      </c>
      <c r="B1" s="1" t="s">
        <v>16</v>
      </c>
      <c r="C1" s="1" t="s">
        <v>17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Airgauge</vt:lpstr>
      <vt:lpstr>HistoryData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Palakorn Pornpetrumpa</dc:creator>
  <cp:lastModifiedBy>HP</cp:lastModifiedBy>
  <dcterms:created xsi:type="dcterms:W3CDTF">2025-05-16T07:25:08Z</dcterms:created>
  <dcterms:modified xsi:type="dcterms:W3CDTF">2025-12-10T13:46:27Z</dcterms:modified>
</cp:coreProperties>
</file>