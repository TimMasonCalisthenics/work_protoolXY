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Protool_Smart_Air_Gauge\"/>
    </mc:Choice>
  </mc:AlternateContent>
  <xr:revisionPtr revIDLastSave="0" documentId="13_ncr:1_{5A1700F7-41BB-4A30-BBA8-0B18EB8F034F}" xr6:coauthVersionLast="47" xr6:coauthVersionMax="47" xr10:uidLastSave="{00000000-0000-0000-0000-000000000000}"/>
  <bookViews>
    <workbookView xWindow="-120" yWindow="-120" windowWidth="15600" windowHeight="11160" tabRatio="767" xr2:uid="{00000000-000D-0000-FFFF-FFFF00000000}"/>
  </bookViews>
  <sheets>
    <sheet name="Main" sheetId="2" r:id="rId1"/>
    <sheet name="Airgauge" sheetId="3" state="hidden" r:id="rId2"/>
    <sheet name="HistoryData" sheetId="4" r:id="rId3"/>
    <sheet name="tmp" sheetId="8" r:id="rId4"/>
    <sheet name="Setting" sheetId="9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31" i="2" l="1"/>
  <c r="AI41" i="2"/>
  <c r="AC41" i="2"/>
  <c r="W41" i="2"/>
  <c r="AI31" i="2"/>
  <c r="AC31" i="2"/>
  <c r="B66" i="3"/>
  <c r="B63" i="3"/>
  <c r="B60" i="3"/>
  <c r="B57" i="3"/>
  <c r="B54" i="3"/>
  <c r="B51" i="3"/>
  <c r="I11" i="3"/>
  <c r="H11" i="3"/>
  <c r="I10" i="3"/>
  <c r="H10" i="3"/>
  <c r="I9" i="3"/>
  <c r="H9" i="3"/>
  <c r="I8" i="3"/>
  <c r="H8" i="3"/>
  <c r="I7" i="3"/>
  <c r="H7" i="3"/>
  <c r="I6" i="3"/>
  <c r="H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X16" authorId="0" shapeId="0" xr:uid="{00000000-0006-0000-0000-000001000000}">
      <text>
        <r>
          <rPr>
            <b/>
            <sz val="9"/>
            <color indexed="81"/>
            <rFont val="Tahoma"/>
            <charset val="222"/>
          </rPr>
          <t>HP:</t>
        </r>
        <r>
          <rPr>
            <sz val="9"/>
            <color indexed="81"/>
            <rFont val="Tahoma"/>
            <charset val="222"/>
          </rPr>
          <t xml:space="preserve">
B31</t>
        </r>
      </text>
    </comment>
    <comment ref="X17" authorId="0" shapeId="0" xr:uid="{00000000-0006-0000-0000-000002000000}">
      <text>
        <r>
          <rPr>
            <b/>
            <sz val="9"/>
            <color indexed="81"/>
            <rFont val="Tahoma"/>
            <charset val="222"/>
          </rPr>
          <t>HP:</t>
        </r>
        <r>
          <rPr>
            <sz val="9"/>
            <color indexed="81"/>
            <rFont val="Tahoma"/>
            <charset val="222"/>
          </rPr>
          <t xml:space="preserve">
J31</t>
        </r>
      </text>
    </comment>
  </commentList>
</comments>
</file>

<file path=xl/sharedStrings.xml><?xml version="1.0" encoding="utf-8"?>
<sst xmlns="http://schemas.openxmlformats.org/spreadsheetml/2006/main" count="57" uniqueCount="52">
  <si>
    <t>Size</t>
  </si>
  <si>
    <t>Tol Max</t>
  </si>
  <si>
    <t>Tol Min</t>
  </si>
  <si>
    <t>Actual</t>
  </si>
  <si>
    <t>No.</t>
  </si>
  <si>
    <t>Date-Time</t>
  </si>
  <si>
    <t>Max</t>
  </si>
  <si>
    <t>Min</t>
  </si>
  <si>
    <t>Actual2</t>
  </si>
  <si>
    <t>Barcode Check</t>
  </si>
  <si>
    <t>NO.</t>
  </si>
  <si>
    <t>Mitutoyo Check</t>
  </si>
  <si>
    <t>Air Gauge Check</t>
  </si>
  <si>
    <t>OK/NG</t>
  </si>
  <si>
    <t>START</t>
  </si>
  <si>
    <t>Num Val1</t>
  </si>
  <si>
    <t>Num Val2</t>
  </si>
  <si>
    <t>Num Val3</t>
  </si>
  <si>
    <t>Result29</t>
  </si>
  <si>
    <t>Serial No. A</t>
  </si>
  <si>
    <t>Serial No. B</t>
  </si>
  <si>
    <t>Vernier 4.5</t>
  </si>
  <si>
    <t>Micro 5.5</t>
  </si>
  <si>
    <t>Barcode1</t>
  </si>
  <si>
    <t>Barcode2</t>
  </si>
  <si>
    <t>4.5 (V)</t>
  </si>
  <si>
    <t>5.5 (V)</t>
  </si>
  <si>
    <t>A50 (V)</t>
  </si>
  <si>
    <t>A49.6 (V)</t>
  </si>
  <si>
    <t>B50 (V)</t>
  </si>
  <si>
    <t>B60 (V)</t>
  </si>
  <si>
    <t>B141 (V)</t>
  </si>
  <si>
    <t>B43.8 (V)</t>
  </si>
  <si>
    <t>4.5 (J)</t>
  </si>
  <si>
    <t>5.5 (J)</t>
  </si>
  <si>
    <t>A50 (J)</t>
  </si>
  <si>
    <t>A49.6 (J)</t>
  </si>
  <si>
    <t>B50 (J)</t>
  </si>
  <si>
    <t>B60 (J)</t>
  </si>
  <si>
    <t>B141 (J)</t>
  </si>
  <si>
    <t>B43.8 (J)</t>
  </si>
  <si>
    <t>tmp_Duplicate</t>
  </si>
  <si>
    <t>NG</t>
  </si>
  <si>
    <t>name</t>
  </si>
  <si>
    <t>date modify</t>
  </si>
  <si>
    <t>Smart Airgauge</t>
  </si>
  <si>
    <t>01</t>
  </si>
  <si>
    <t>curr version</t>
  </si>
  <si>
    <t>Main Feature</t>
  </si>
  <si>
    <t>manual start</t>
  </si>
  <si>
    <t>OK</t>
  </si>
  <si>
    <t>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</si>
</sst>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87" formatCode="_(* #,##0.00_);_(* \(#,##0.00\);_(* &quot;-&quot;??_);_(@_)"/>
    <numFmt numFmtId="188" formatCode="0.000"/>
    <numFmt numFmtId="189" formatCode="yyyy/mm/dd;@"/>
  </numFmts>
  <fonts count="30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8"/>
      <name val="Tahoma"/>
      <family val="2"/>
      <scheme val="minor"/>
    </font>
    <font>
      <sz val="60"/>
      <color rgb="FFFFFFFF"/>
      <name val="Calibri"/>
      <family val="2"/>
    </font>
    <font>
      <b/>
      <sz val="72"/>
      <color rgb="FFFFFFFF"/>
      <name val="Calibri"/>
      <family val="2"/>
    </font>
    <font>
      <b/>
      <sz val="42"/>
      <color rgb="FFFFFFFF"/>
      <name val="Calibri"/>
      <family val="2"/>
    </font>
    <font>
      <sz val="11"/>
      <name val="Calibri"/>
      <family val="2"/>
    </font>
    <font>
      <b/>
      <sz val="13"/>
      <color rgb="FF2C2C76"/>
      <name val="Calibri"/>
      <family val="2"/>
    </font>
    <font>
      <b/>
      <sz val="11"/>
      <color rgb="FF2C2C76"/>
      <name val="Calibri"/>
      <family val="2"/>
    </font>
    <font>
      <sz val="11"/>
      <color theme="0"/>
      <name val="Tahoma"/>
      <family val="2"/>
      <charset val="222"/>
      <scheme val="minor"/>
    </font>
    <font>
      <b/>
      <sz val="48"/>
      <color theme="1"/>
      <name val="Tahoma"/>
      <family val="2"/>
      <scheme val="minor"/>
    </font>
    <font>
      <b/>
      <sz val="72"/>
      <color theme="1"/>
      <name val="Tahoma"/>
      <family val="2"/>
      <scheme val="minor"/>
    </font>
    <font>
      <b/>
      <sz val="26"/>
      <name val="Tahoma"/>
      <family val="2"/>
      <scheme val="major"/>
    </font>
    <font>
      <sz val="72"/>
      <color theme="1"/>
      <name val="Tahoma"/>
      <family val="2"/>
      <scheme val="minor"/>
    </font>
    <font>
      <b/>
      <sz val="11"/>
      <name val="Tahoma"/>
      <family val="2"/>
      <scheme val="minor"/>
    </font>
    <font>
      <sz val="11"/>
      <name val="Tahoma"/>
      <family val="2"/>
      <scheme val="minor"/>
    </font>
    <font>
      <sz val="20"/>
      <color theme="1"/>
      <name val="Tahoma"/>
      <family val="2"/>
      <scheme val="minor"/>
    </font>
    <font>
      <sz val="26"/>
      <color theme="1"/>
      <name val="Tahoma"/>
      <family val="2"/>
      <scheme val="minor"/>
    </font>
    <font>
      <sz val="24"/>
      <color theme="1"/>
      <name val="Tahoma"/>
      <family val="2"/>
      <scheme val="minor"/>
    </font>
    <font>
      <sz val="36"/>
      <color theme="1"/>
      <name val="Tahoma"/>
      <family val="2"/>
      <scheme val="minor"/>
    </font>
    <font>
      <sz val="48"/>
      <color theme="1"/>
      <name val="Tahoma"/>
      <family val="2"/>
      <scheme val="minor"/>
    </font>
    <font>
      <b/>
      <sz val="28"/>
      <color theme="1"/>
      <name val="Tahoma"/>
      <family val="2"/>
      <scheme val="minor"/>
    </font>
    <font>
      <b/>
      <sz val="16"/>
      <color theme="1"/>
      <name val="Tahoma"/>
      <family val="2"/>
      <scheme val="minor"/>
    </font>
    <font>
      <sz val="28"/>
      <color theme="1"/>
      <name val="Tahoma"/>
      <family val="2"/>
      <scheme val="minor"/>
    </font>
    <font>
      <sz val="22"/>
      <color theme="1"/>
      <name val="Tahoma"/>
      <family val="2"/>
      <scheme val="minor"/>
    </font>
    <font>
      <b/>
      <sz val="60"/>
      <color theme="1"/>
      <name val="Tahoma"/>
      <family val="2"/>
      <scheme val="minor"/>
    </font>
    <font>
      <sz val="9"/>
      <color indexed="81"/>
      <name val="Tahoma"/>
      <charset val="222"/>
    </font>
    <font>
      <b/>
      <sz val="9"/>
      <color indexed="81"/>
      <name val="Tahoma"/>
      <charset val="222"/>
    </font>
    <font>
      <sz val="18"/>
      <color theme="1"/>
      <name val="Tahoma"/>
      <family val="2"/>
      <scheme val="minor"/>
    </font>
    <font>
      <b/>
      <sz val="11"/>
      <color theme="1"/>
      <name val="Tahoma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2DCFD"/>
      </left>
      <right style="thin">
        <color rgb="FFC2DCFD"/>
      </right>
      <top/>
      <bottom style="thin">
        <color rgb="FFFFFFFF"/>
      </bottom>
      <diagonal/>
    </border>
    <border>
      <left style="thin">
        <color rgb="FFC2DCFD"/>
      </left>
      <right/>
      <top/>
      <bottom style="thin">
        <color rgb="FFFFFFFF"/>
      </bottom>
      <diagonal/>
    </border>
    <border>
      <left/>
      <right style="thin">
        <color rgb="FFC2DCFD"/>
      </right>
      <top/>
      <bottom/>
      <diagonal/>
    </border>
    <border>
      <left style="thin">
        <color rgb="FFC2DCFD"/>
      </left>
      <right style="thin">
        <color rgb="FFC2DCFD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87" fontId="1" fillId="0" borderId="0" applyFont="0" applyFill="0" applyBorder="0" applyAlignment="0" applyProtection="0"/>
    <xf numFmtId="0" fontId="9" fillId="3" borderId="0" applyNumberFormat="0" applyBorder="0" applyAlignment="0" applyProtection="0"/>
  </cellStyleXfs>
  <cellXfs count="122">
    <xf numFmtId="0" fontId="0" fillId="0" borderId="0" xfId="0"/>
    <xf numFmtId="0" fontId="0" fillId="0" borderId="0" xfId="0" applyAlignment="1">
      <alignment horizontal="center"/>
    </xf>
    <xf numFmtId="188" fontId="0" fillId="0" borderId="0" xfId="1" applyNumberFormat="1" applyFont="1" applyAlignment="1">
      <alignment horizontal="center"/>
    </xf>
    <xf numFmtId="188" fontId="0" fillId="0" borderId="0" xfId="0" applyNumberFormat="1"/>
    <xf numFmtId="0" fontId="9" fillId="3" borderId="0" xfId="2" applyAlignment="1">
      <alignment horizontal="center" vertical="center"/>
    </xf>
    <xf numFmtId="188" fontId="9" fillId="3" borderId="0" xfId="2" applyNumberFormat="1" applyAlignment="1">
      <alignment horizontal="center" vertical="center"/>
    </xf>
    <xf numFmtId="0" fontId="0" fillId="2" borderId="0" xfId="0" applyFill="1"/>
    <xf numFmtId="0" fontId="8" fillId="4" borderId="0" xfId="0" applyFont="1" applyFill="1"/>
    <xf numFmtId="0" fontId="0" fillId="4" borderId="0" xfId="0" applyFill="1"/>
    <xf numFmtId="0" fontId="8" fillId="2" borderId="0" xfId="0" applyFont="1" applyFill="1"/>
    <xf numFmtId="0" fontId="3" fillId="5" borderId="0" xfId="0" applyFont="1" applyFill="1" applyAlignment="1">
      <alignment horizontal="left"/>
    </xf>
    <xf numFmtId="0" fontId="4" fillId="5" borderId="0" xfId="0" applyFont="1" applyFill="1" applyAlignment="1">
      <alignment horizontal="left"/>
    </xf>
    <xf numFmtId="0" fontId="5" fillId="5" borderId="0" xfId="0" applyFont="1" applyFill="1" applyAlignment="1">
      <alignment horizontal="left"/>
    </xf>
    <xf numFmtId="0" fontId="6" fillId="5" borderId="0" xfId="0" applyFont="1" applyFill="1"/>
    <xf numFmtId="0" fontId="0" fillId="5" borderId="0" xfId="0" applyFill="1"/>
    <xf numFmtId="0" fontId="7" fillId="4" borderId="4" xfId="0" applyFont="1" applyFill="1" applyBorder="1" applyAlignment="1">
      <alignment horizontal="left"/>
    </xf>
    <xf numFmtId="0" fontId="7" fillId="4" borderId="2" xfId="0" applyFont="1" applyFill="1" applyBorder="1" applyAlignment="1">
      <alignment horizontal="left"/>
    </xf>
    <xf numFmtId="0" fontId="7" fillId="4" borderId="5" xfId="0" applyFont="1" applyFill="1" applyBorder="1" applyAlignment="1">
      <alignment horizontal="left"/>
    </xf>
    <xf numFmtId="0" fontId="7" fillId="4" borderId="3" xfId="0" applyFont="1" applyFill="1" applyBorder="1" applyAlignment="1">
      <alignment horizontal="left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22" fontId="15" fillId="0" borderId="0" xfId="0" applyNumberFormat="1" applyFont="1" applyAlignment="1">
      <alignment horizontal="right"/>
    </xf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88" fontId="15" fillId="0" borderId="0" xfId="0" applyNumberFormat="1" applyFont="1" applyAlignment="1">
      <alignment horizontal="right"/>
    </xf>
    <xf numFmtId="0" fontId="16" fillId="0" borderId="0" xfId="0" applyFont="1" applyAlignment="1">
      <alignment vertical="center"/>
    </xf>
    <xf numFmtId="188" fontId="18" fillId="0" borderId="0" xfId="1" applyNumberFormat="1" applyFont="1" applyAlignment="1">
      <alignment vertical="center"/>
    </xf>
    <xf numFmtId="0" fontId="17" fillId="0" borderId="0" xfId="0" applyFont="1" applyAlignment="1">
      <alignment vertical="center"/>
    </xf>
    <xf numFmtId="188" fontId="0" fillId="0" borderId="0" xfId="0" applyNumberFormat="1" applyAlignment="1">
      <alignment horizontal="center"/>
    </xf>
    <xf numFmtId="188" fontId="19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0" fontId="28" fillId="6" borderId="1" xfId="0" applyFont="1" applyFill="1" applyBorder="1" applyAlignment="1" applyProtection="1">
      <alignment vertical="center"/>
      <protection locked="0"/>
    </xf>
    <xf numFmtId="0" fontId="28" fillId="2" borderId="1" xfId="0" applyFont="1" applyFill="1" applyBorder="1" applyAlignment="1" applyProtection="1">
      <alignment vertical="center"/>
      <protection locked="0"/>
    </xf>
    <xf numFmtId="0" fontId="4" fillId="5" borderId="6" xfId="0" applyFont="1" applyFill="1" applyBorder="1" applyAlignment="1">
      <alignment horizontal="left"/>
    </xf>
    <xf numFmtId="0" fontId="7" fillId="7" borderId="0" xfId="0" applyFont="1" applyFill="1" applyAlignment="1">
      <alignment horizontal="left"/>
    </xf>
    <xf numFmtId="0" fontId="7" fillId="7" borderId="8" xfId="0" applyFont="1" applyFill="1" applyBorder="1" applyAlignment="1">
      <alignment horizontal="left"/>
    </xf>
    <xf numFmtId="0" fontId="0" fillId="7" borderId="0" xfId="0" applyFill="1"/>
    <xf numFmtId="0" fontId="0" fillId="0" borderId="8" xfId="0" applyBorder="1"/>
    <xf numFmtId="0" fontId="10" fillId="0" borderId="0" xfId="0" applyFont="1" applyAlignment="1">
      <alignment horizontal="center" vertical="center"/>
    </xf>
    <xf numFmtId="0" fontId="20" fillId="0" borderId="0" xfId="0" applyFont="1"/>
    <xf numFmtId="0" fontId="13" fillId="0" borderId="0" xfId="0" applyFont="1"/>
    <xf numFmtId="0" fontId="13" fillId="7" borderId="0" xfId="0" applyFont="1" applyFill="1"/>
    <xf numFmtId="0" fontId="13" fillId="0" borderId="8" xfId="0" applyFont="1" applyBorder="1"/>
    <xf numFmtId="0" fontId="22" fillId="0" borderId="0" xfId="0" applyFont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" xfId="0" applyFont="1" applyBorder="1" applyAlignment="1">
      <alignment horizontal="right" vertical="center"/>
    </xf>
    <xf numFmtId="0" fontId="22" fillId="0" borderId="1" xfId="0" applyFont="1" applyBorder="1" applyAlignment="1">
      <alignment vertical="center"/>
    </xf>
    <xf numFmtId="0" fontId="28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21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188" fontId="23" fillId="0" borderId="0" xfId="0" applyNumberFormat="1" applyFont="1" applyAlignment="1">
      <alignment vertical="center"/>
    </xf>
    <xf numFmtId="49" fontId="0" fillId="0" borderId="0" xfId="0" applyNumberFormat="1" applyAlignment="1">
      <alignment horizontal="right"/>
    </xf>
    <xf numFmtId="0" fontId="29" fillId="8" borderId="1" xfId="0" applyFont="1" applyFill="1" applyBorder="1" applyAlignment="1">
      <alignment horizontal="center"/>
    </xf>
    <xf numFmtId="49" fontId="29" fillId="8" borderId="1" xfId="0" applyNumberFormat="1" applyFont="1" applyFill="1" applyBorder="1" applyAlignment="1">
      <alignment horizontal="center"/>
    </xf>
    <xf numFmtId="189" fontId="0" fillId="0" borderId="0" xfId="0" applyNumberFormat="1"/>
    <xf numFmtId="0" fontId="0" fillId="0" borderId="0" xfId="0" applyAlignment="1">
      <alignment horizontal="left" indent="1"/>
    </xf>
    <xf numFmtId="49" fontId="0" fillId="0" borderId="0" xfId="0" applyNumberFormat="1" applyAlignment="1" applyProtection="1">
      <alignment horizontal="right"/>
      <protection locked="0"/>
    </xf>
    <xf numFmtId="0" fontId="15" fillId="9" borderId="0" xfId="0" applyFont="1" applyFill="1" applyAlignment="1">
      <alignment horizontal="center" vertical="center"/>
    </xf>
    <xf numFmtId="22" fontId="15" fillId="9" borderId="0" xfId="0" applyNumberFormat="1" applyFont="1" applyFill="1" applyAlignment="1">
      <alignment horizontal="right" vertical="center"/>
    </xf>
    <xf numFmtId="0" fontId="15" fillId="9" borderId="0" xfId="0" applyFont="1" applyFill="1" applyAlignment="1">
      <alignment horizontal="right" vertical="center"/>
    </xf>
    <xf numFmtId="2" fontId="15" fillId="9" borderId="0" xfId="0" applyNumberFormat="1" applyFont="1" applyFill="1" applyAlignment="1">
      <alignment horizontal="right" vertical="center"/>
    </xf>
    <xf numFmtId="188" fontId="15" fillId="9" borderId="0" xfId="0" applyNumberFormat="1" applyFont="1" applyFill="1" applyAlignment="1">
      <alignment horizontal="right" vertical="center"/>
    </xf>
    <xf numFmtId="188" fontId="15" fillId="9" borderId="0" xfId="0" applyNumberFormat="1" applyFont="1" applyFill="1" applyAlignment="1">
      <alignment horizontal="right"/>
    </xf>
    <xf numFmtId="0" fontId="15" fillId="9" borderId="0" xfId="0" applyFont="1" applyFill="1" applyAlignment="1">
      <alignment horizontal="center"/>
    </xf>
    <xf numFmtId="22" fontId="15" fillId="9" borderId="0" xfId="0" applyNumberFormat="1" applyFont="1" applyFill="1" applyAlignment="1">
      <alignment horizontal="right"/>
    </xf>
    <xf numFmtId="0" fontId="15" fillId="9" borderId="0" xfId="0" applyFont="1" applyFill="1" applyAlignment="1">
      <alignment horizontal="right"/>
    </xf>
    <xf numFmtId="2" fontId="15" fillId="9" borderId="0" xfId="0" applyNumberFormat="1" applyFont="1" applyFill="1" applyAlignment="1">
      <alignment horizontal="right"/>
    </xf>
    <xf numFmtId="0" fontId="15" fillId="10" borderId="0" xfId="0" applyFont="1" applyFill="1" applyAlignment="1">
      <alignment horizontal="center"/>
    </xf>
    <xf numFmtId="22" fontId="15" fillId="10" borderId="0" xfId="0" applyNumberFormat="1" applyFont="1" applyFill="1" applyAlignment="1">
      <alignment horizontal="right"/>
    </xf>
    <xf numFmtId="0" fontId="15" fillId="10" borderId="0" xfId="0" applyFont="1" applyFill="1" applyAlignment="1">
      <alignment horizontal="right"/>
    </xf>
    <xf numFmtId="2" fontId="15" fillId="10" borderId="0" xfId="0" applyNumberFormat="1" applyFont="1" applyFill="1" applyAlignment="1">
      <alignment horizontal="right"/>
    </xf>
    <xf numFmtId="188" fontId="15" fillId="10" borderId="0" xfId="0" applyNumberFormat="1" applyFont="1" applyFill="1" applyAlignment="1">
      <alignment horizontal="right"/>
    </xf>
    <xf numFmtId="0" fontId="15" fillId="11" borderId="0" xfId="0" applyFont="1" applyFill="1" applyAlignment="1">
      <alignment horizontal="center"/>
    </xf>
    <xf numFmtId="22" fontId="15" fillId="11" borderId="0" xfId="0" applyNumberFormat="1" applyFont="1" applyFill="1" applyAlignment="1">
      <alignment horizontal="right"/>
    </xf>
    <xf numFmtId="0" fontId="15" fillId="11" borderId="0" xfId="0" applyFont="1" applyFill="1" applyAlignment="1">
      <alignment horizontal="right"/>
    </xf>
    <xf numFmtId="2" fontId="15" fillId="11" borderId="0" xfId="0" applyNumberFormat="1" applyFont="1" applyFill="1" applyAlignment="1">
      <alignment horizontal="right"/>
    </xf>
    <xf numFmtId="188" fontId="15" fillId="11" borderId="0" xfId="0" applyNumberFormat="1" applyFont="1" applyFill="1" applyAlignment="1">
      <alignment horizontal="right"/>
    </xf>
    <xf numFmtId="0" fontId="24" fillId="0" borderId="0" xfId="0" applyFont="1" applyAlignment="1">
      <alignment horizontal="center" vertical="center"/>
    </xf>
    <xf numFmtId="188" fontId="19" fillId="0" borderId="0" xfId="1" applyNumberFormat="1" applyFont="1" applyAlignment="1" applyProtection="1">
      <alignment horizontal="center" vertical="center"/>
    </xf>
    <xf numFmtId="0" fontId="10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/>
    </xf>
    <xf numFmtId="0" fontId="11" fillId="0" borderId="7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0" fillId="6" borderId="6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0" fillId="6" borderId="13" xfId="0" applyFont="1" applyFill="1" applyBorder="1" applyAlignment="1">
      <alignment horizontal="center" vertical="center"/>
    </xf>
    <xf numFmtId="0" fontId="10" fillId="6" borderId="19" xfId="0" applyFont="1" applyFill="1" applyBorder="1" applyAlignment="1">
      <alignment horizontal="center" vertical="center"/>
    </xf>
    <xf numFmtId="188" fontId="11" fillId="0" borderId="11" xfId="0" applyNumberFormat="1" applyFont="1" applyBorder="1" applyAlignment="1">
      <alignment horizontal="center" vertical="center"/>
    </xf>
    <xf numFmtId="188" fontId="11" fillId="0" borderId="16" xfId="0" applyNumberFormat="1" applyFont="1" applyBorder="1" applyAlignment="1">
      <alignment horizontal="center" vertical="center"/>
    </xf>
    <xf numFmtId="188" fontId="11" fillId="0" borderId="13" xfId="0" applyNumberFormat="1" applyFont="1" applyBorder="1" applyAlignment="1">
      <alignment horizontal="center" vertical="center"/>
    </xf>
    <xf numFmtId="188" fontId="11" fillId="0" borderId="12" xfId="0" applyNumberFormat="1" applyFont="1" applyBorder="1" applyAlignment="1">
      <alignment horizontal="center" vertical="center"/>
    </xf>
    <xf numFmtId="188" fontId="11" fillId="0" borderId="0" xfId="0" applyNumberFormat="1" applyFont="1" applyAlignment="1">
      <alignment horizontal="center" vertical="center"/>
    </xf>
    <xf numFmtId="188" fontId="11" fillId="0" borderId="14" xfId="0" applyNumberFormat="1" applyFont="1" applyBorder="1" applyAlignment="1">
      <alignment horizontal="center" vertical="center"/>
    </xf>
    <xf numFmtId="188" fontId="11" fillId="0" borderId="17" xfId="0" applyNumberFormat="1" applyFont="1" applyBorder="1" applyAlignment="1">
      <alignment horizontal="center" vertical="center"/>
    </xf>
    <xf numFmtId="188" fontId="11" fillId="0" borderId="18" xfId="0" applyNumberFormat="1" applyFont="1" applyBorder="1" applyAlignment="1">
      <alignment horizontal="center" vertical="center"/>
    </xf>
    <xf numFmtId="188" fontId="11" fillId="0" borderId="19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1" fillId="0" borderId="11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0" fontId="25" fillId="0" borderId="0" xfId="0" applyFont="1" applyAlignment="1">
      <alignment horizontal="center" vertical="center"/>
    </xf>
    <xf numFmtId="188" fontId="19" fillId="0" borderId="0" xfId="1" applyNumberFormat="1" applyFont="1" applyAlignment="1">
      <alignment horizontal="center" vertical="center"/>
    </xf>
    <xf numFmtId="0" fontId="12" fillId="2" borderId="0" xfId="0" applyFont="1" applyFill="1" applyAlignment="1">
      <alignment horizontal="center" vertical="center"/>
    </xf>
  </cellXfs>
  <cellStyles count="3">
    <cellStyle name="Accent4" xfId="2" builtinId="41"/>
    <cellStyle name="Comma" xfId="1" builtinId="3"/>
    <cellStyle name="Normal" xfId="0" builtinId="0"/>
  </cellStyles>
  <dxfs count="3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88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scheme val="minor"/>
      </font>
      <numFmt numFmtId="188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EEE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image" Target="../media/image8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0" Type="http://schemas.microsoft.com/office/2007/relationships/hdphoto" Target="../media/hdphoto4.wdp"/><Relationship Id="rId4" Type="http://schemas.microsoft.com/office/2007/relationships/hdphoto" Target="../media/hdphoto1.wdp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306232</xdr:colOff>
      <xdr:row>7</xdr:row>
      <xdr:rowOff>50618</xdr:rowOff>
    </xdr:from>
    <xdr:to>
      <xdr:col>9</xdr:col>
      <xdr:colOff>564286</xdr:colOff>
      <xdr:row>14</xdr:row>
      <xdr:rowOff>212635</xdr:rowOff>
    </xdr:to>
    <xdr:sp macro="[0]!resetAll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250898" y="4729298"/>
          <a:ext cx="3600000" cy="1480277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4800" b="1">
              <a:latin typeface="Comic Sans MS" panose="030F0702030302020204" pitchFamily="66" charset="0"/>
            </a:rPr>
            <a:t>Reset</a:t>
          </a:r>
        </a:p>
      </xdr:txBody>
    </xdr:sp>
    <xdr:clientData/>
  </xdr:twoCellAnchor>
  <xdr:twoCellAnchor editAs="oneCell">
    <xdr:from>
      <xdr:col>0</xdr:col>
      <xdr:colOff>294409</xdr:colOff>
      <xdr:row>0</xdr:row>
      <xdr:rowOff>78280</xdr:rowOff>
    </xdr:from>
    <xdr:to>
      <xdr:col>7</xdr:col>
      <xdr:colOff>6577</xdr:colOff>
      <xdr:row>2</xdr:row>
      <xdr:rowOff>31076</xdr:rowOff>
    </xdr:to>
    <xdr:pic>
      <xdr:nvPicPr>
        <xdr:cNvPr id="8" name="รูปภาพ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78280"/>
          <a:ext cx="5246914" cy="1278676"/>
        </a:xfrm>
        <a:prstGeom prst="rect">
          <a:avLst/>
        </a:prstGeom>
      </xdr:spPr>
    </xdr:pic>
    <xdr:clientData/>
  </xdr:twoCellAnchor>
  <xdr:twoCellAnchor editAs="oneCell">
    <xdr:from>
      <xdr:col>13</xdr:col>
      <xdr:colOff>48444</xdr:colOff>
      <xdr:row>0</xdr:row>
      <xdr:rowOff>367635</xdr:rowOff>
    </xdr:from>
    <xdr:to>
      <xdr:col>18</xdr:col>
      <xdr:colOff>75481</xdr:colOff>
      <xdr:row>2</xdr:row>
      <xdr:rowOff>32584</xdr:rowOff>
    </xdr:to>
    <xdr:pic>
      <xdr:nvPicPr>
        <xdr:cNvPr id="9" name="รูปภาพ 10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15" t="36319" r="14438" b="37166"/>
        <a:stretch/>
      </xdr:blipFill>
      <xdr:spPr>
        <a:xfrm rot="546975">
          <a:off x="8963844" y="367635"/>
          <a:ext cx="4719728" cy="990829"/>
        </a:xfrm>
        <a:prstGeom prst="rect">
          <a:avLst/>
        </a:prstGeom>
      </xdr:spPr>
    </xdr:pic>
    <xdr:clientData/>
  </xdr:twoCellAnchor>
  <xdr:twoCellAnchor editAs="oneCell">
    <xdr:from>
      <xdr:col>21</xdr:col>
      <xdr:colOff>126769</xdr:colOff>
      <xdr:row>0</xdr:row>
      <xdr:rowOff>60960</xdr:rowOff>
    </xdr:from>
    <xdr:to>
      <xdr:col>25</xdr:col>
      <xdr:colOff>1091438</xdr:colOff>
      <xdr:row>2</xdr:row>
      <xdr:rowOff>13756</xdr:rowOff>
    </xdr:to>
    <xdr:pic>
      <xdr:nvPicPr>
        <xdr:cNvPr id="3" name="รูปภาพ 8">
          <a:extLst>
            <a:ext uri="{FF2B5EF4-FFF2-40B4-BE49-F238E27FC236}">
              <a16:creationId xmlns:a16="http://schemas.microsoft.com/office/drawing/2014/main" id="{A56133F7-99D7-4BA0-B349-16471225CA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28569" y="60960"/>
          <a:ext cx="5246914" cy="1278676"/>
        </a:xfrm>
        <a:prstGeom prst="rect">
          <a:avLst/>
        </a:prstGeom>
      </xdr:spPr>
    </xdr:pic>
    <xdr:clientData/>
  </xdr:twoCellAnchor>
  <xdr:twoCellAnchor editAs="oneCell">
    <xdr:from>
      <xdr:col>34</xdr:col>
      <xdr:colOff>482784</xdr:colOff>
      <xdr:row>0</xdr:row>
      <xdr:rowOff>367635</xdr:rowOff>
    </xdr:from>
    <xdr:to>
      <xdr:col>38</xdr:col>
      <xdr:colOff>235053</xdr:colOff>
      <xdr:row>2</xdr:row>
      <xdr:rowOff>32584</xdr:rowOff>
    </xdr:to>
    <xdr:pic>
      <xdr:nvPicPr>
        <xdr:cNvPr id="4" name="รูปภาพ 10">
          <a:extLst>
            <a:ext uri="{FF2B5EF4-FFF2-40B4-BE49-F238E27FC236}">
              <a16:creationId xmlns:a16="http://schemas.microsoft.com/office/drawing/2014/main" id="{D091421D-D3A6-422C-927A-F8E5AD0496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15" t="36319" r="14438" b="37166"/>
        <a:stretch/>
      </xdr:blipFill>
      <xdr:spPr>
        <a:xfrm rot="546975">
          <a:off x="23799984" y="367635"/>
          <a:ext cx="4719728" cy="990829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33</xdr:row>
      <xdr:rowOff>106487</xdr:rowOff>
    </xdr:from>
    <xdr:to>
      <xdr:col>8</xdr:col>
      <xdr:colOff>540088</xdr:colOff>
      <xdr:row>37</xdr:row>
      <xdr:rowOff>402982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9F06A2A-5098-0E6D-F11C-31CAE6573B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9901" b="93399" l="7974" r="89869">
                      <a14:foregroundMark x1="13884" y1="48185" x2="8818" y2="24752"/>
                      <a14:foregroundMark x1="8818" y1="24752" x2="20169" y2="11881"/>
                      <a14:foregroundMark x1="20169" y1="11881" x2="28049" y2="12541"/>
                      <a14:foregroundMark x1="28049" y1="12541" x2="11726" y2="21122"/>
                      <a14:foregroundMark x1="11726" y1="21122" x2="27674" y2="16172"/>
                      <a14:foregroundMark x1="27674" y1="16172" x2="11914" y2="15842"/>
                      <a14:foregroundMark x1="11914" y1="15842" x2="11069" y2="12871"/>
                      <a14:foregroundMark x1="8724" y1="36304" x2="8912" y2="47195"/>
                      <a14:foregroundMark x1="8630" y1="37954" x2="7974" y2="27063"/>
                      <a14:foregroundMark x1="8443" y1="26733" x2="8255" y2="25413"/>
                      <a14:foregroundMark x1="9099" y1="18812" x2="7974" y2="28383"/>
                      <a14:foregroundMark x1="10882" y1="12211" x2="20169" y2="14191"/>
                      <a14:foregroundMark x1="20169" y1="14191" x2="22514" y2="11881"/>
                      <a14:foregroundMark x1="20169" y1="12211" x2="9756" y2="12871"/>
                      <a14:foregroundMark x1="41276" y1="93399" x2="41276" y2="9339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164" r="10029"/>
        <a:stretch/>
      </xdr:blipFill>
      <xdr:spPr>
        <a:xfrm>
          <a:off x="1" y="11792929"/>
          <a:ext cx="7024414" cy="2348034"/>
        </a:xfrm>
        <a:prstGeom prst="rect">
          <a:avLst/>
        </a:prstGeom>
      </xdr:spPr>
    </xdr:pic>
    <xdr:clientData/>
  </xdr:twoCellAnchor>
  <xdr:twoCellAnchor editAs="oneCell">
    <xdr:from>
      <xdr:col>9</xdr:col>
      <xdr:colOff>579619</xdr:colOff>
      <xdr:row>33</xdr:row>
      <xdr:rowOff>114303</xdr:rowOff>
    </xdr:from>
    <xdr:to>
      <xdr:col>19</xdr:col>
      <xdr:colOff>299981</xdr:colOff>
      <xdr:row>44</xdr:row>
      <xdr:rowOff>219810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6017778-B651-EA79-0A59-929AEEFE2D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4688" b="94318" l="7700" r="87700">
                      <a14:foregroundMark x1="13991" y1="14631" x2="13991" y2="14631"/>
                      <a14:foregroundMark x1="83850" y1="14205" x2="83850" y2="14205"/>
                      <a14:foregroundMark x1="87700" y1="14631" x2="87700" y2="14631"/>
                      <a14:foregroundMark x1="9577" y1="6534" x2="9577" y2="6534"/>
                      <a14:foregroundMark x1="11925" y1="6534" x2="11925" y2="6534"/>
                      <a14:foregroundMark x1="10892" y1="7955" x2="10892" y2="7955"/>
                      <a14:foregroundMark x1="11174" y1="7813" x2="11174" y2="7813"/>
                      <a14:foregroundMark x1="17371" y1="6960" x2="17371" y2="6960"/>
                      <a14:foregroundMark x1="19061" y1="6676" x2="19061" y2="6676"/>
                      <a14:foregroundMark x1="19343" y1="6392" x2="19343" y2="6392"/>
                      <a14:foregroundMark x1="9296" y1="6392" x2="18310" y2="6250"/>
                      <a14:foregroundMark x1="18310" y1="6250" x2="9671" y2="5824"/>
                      <a14:foregroundMark x1="9671" y1="5824" x2="18404" y2="5824"/>
                      <a14:foregroundMark x1="18404" y1="5824" x2="25728" y2="5682"/>
                      <a14:foregroundMark x1="9390" y1="6392" x2="10516" y2="7955"/>
                      <a14:foregroundMark x1="9671" y1="7955" x2="9202" y2="7670"/>
                      <a14:foregroundMark x1="9296" y1="8807" x2="11549" y2="15341"/>
                      <a14:foregroundMark x1="8732" y1="18892" x2="9577" y2="5682"/>
                      <a14:foregroundMark x1="9577" y1="5682" x2="23380" y2="5540"/>
                      <a14:foregroundMark x1="23380" y1="5540" x2="7700" y2="7528"/>
                      <a14:foregroundMark x1="11362" y1="7955" x2="27700" y2="8097"/>
                      <a14:foregroundMark x1="8545" y1="5682" x2="19437" y2="5540"/>
                      <a14:foregroundMark x1="19437" y1="5540" x2="26103" y2="5540"/>
                      <a14:foregroundMark x1="8263" y1="5540" x2="26573" y2="5540"/>
                      <a14:foregroundMark x1="8075" y1="5540" x2="16526" y2="4830"/>
                      <a14:foregroundMark x1="16526" y1="4830" x2="26479" y2="5398"/>
                      <a14:foregroundMark x1="9014" y1="17472" x2="12488" y2="16051"/>
                      <a14:foregroundMark x1="8357" y1="13210" x2="8545" y2="11364"/>
                      <a14:foregroundMark x1="8826" y1="11222" x2="8826" y2="7813"/>
                      <a14:foregroundMark x1="9202" y1="17472" x2="9202" y2="19318"/>
                      <a14:foregroundMark x1="8545" y1="5256" x2="14742" y2="4688"/>
                      <a14:foregroundMark x1="48545" y1="94318" x2="48545" y2="9431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8642" t="4069" r="10734"/>
        <a:stretch>
          <a:fillRect/>
        </a:stretch>
      </xdr:blipFill>
      <xdr:spPr>
        <a:xfrm>
          <a:off x="7833273" y="11800745"/>
          <a:ext cx="7596805" cy="5747238"/>
        </a:xfrm>
        <a:prstGeom prst="rect">
          <a:avLst/>
        </a:prstGeom>
      </xdr:spPr>
    </xdr:pic>
    <xdr:clientData/>
  </xdr:twoCellAnchor>
  <xdr:twoCellAnchor editAs="oneCell">
    <xdr:from>
      <xdr:col>23</xdr:col>
      <xdr:colOff>9586</xdr:colOff>
      <xdr:row>4</xdr:row>
      <xdr:rowOff>322969</xdr:rowOff>
    </xdr:from>
    <xdr:to>
      <xdr:col>30</xdr:col>
      <xdr:colOff>598713</xdr:colOff>
      <xdr:row>11</xdr:row>
      <xdr:rowOff>157142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1D4629E-C90A-F441-2AE3-69C9DC5726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2961" b="94737" l="10872" r="88285">
                      <a14:foregroundMark x1="15089" y1="48026" x2="15089" y2="48026"/>
                      <a14:foregroundMark x1="10965" y1="32566" x2="10965" y2="32566"/>
                      <a14:foregroundMark x1="80881" y1="33882" x2="85286" y2="32566"/>
                      <a14:foregroundMark x1="43018" y1="91776" x2="43018" y2="91776"/>
                      <a14:foregroundMark x1="38894" y1="89474" x2="14152" y2="76974"/>
                      <a14:foregroundMark x1="14152" y1="76974" x2="40300" y2="63487"/>
                      <a14:foregroundMark x1="11715" y1="30921" x2="11340" y2="9539"/>
                      <a14:foregroundMark x1="11340" y1="9539" x2="21181" y2="2961"/>
                      <a14:foregroundMark x1="21181" y1="2961" x2="68604" y2="21711"/>
                      <a14:foregroundMark x1="47423" y1="5592" x2="66448" y2="11184"/>
                      <a14:foregroundMark x1="66448" y1="11184" x2="68041" y2="19737"/>
                      <a14:foregroundMark x1="54827" y1="89474" x2="54827" y2="89474"/>
                      <a14:foregroundMark x1="50328" y1="80592" x2="54171" y2="93421"/>
                      <a14:foregroundMark x1="54171" y1="93421" x2="58950" y2="94737"/>
                      <a14:foregroundMark x1="58950" y1="94737" x2="64011" y2="81579"/>
                      <a14:foregroundMark x1="64011" y1="81579" x2="50703" y2="80263"/>
                      <a14:foregroundMark x1="50703" y1="80263" x2="49953" y2="80592"/>
                      <a14:foregroundMark x1="59981" y1="79605" x2="62980" y2="79605"/>
                      <a14:foregroundMark x1="14339" y1="81908" x2="19588" y2="69737"/>
                      <a14:foregroundMark x1="19588" y1="69737" x2="23993" y2="69737"/>
                      <a14:foregroundMark x1="15933" y1="74013" x2="14058" y2="67434"/>
                      <a14:foregroundMark x1="14808" y1="69737" x2="12465" y2="84211"/>
                      <a14:foregroundMark x1="12465" y1="84211" x2="14152" y2="68421"/>
                      <a14:foregroundMark x1="88285" y1="29605" x2="88285" y2="2960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0392" r="10196"/>
        <a:stretch>
          <a:fillRect/>
        </a:stretch>
      </xdr:blipFill>
      <xdr:spPr>
        <a:xfrm>
          <a:off x="16011586" y="2636183"/>
          <a:ext cx="7379091" cy="3072673"/>
        </a:xfrm>
        <a:prstGeom prst="rect">
          <a:avLst/>
        </a:prstGeom>
      </xdr:spPr>
    </xdr:pic>
    <xdr:clientData/>
  </xdr:twoCellAnchor>
  <xdr:twoCellAnchor editAs="oneCell">
    <xdr:from>
      <xdr:col>30</xdr:col>
      <xdr:colOff>1078091</xdr:colOff>
      <xdr:row>4</xdr:row>
      <xdr:rowOff>381531</xdr:rowOff>
    </xdr:from>
    <xdr:to>
      <xdr:col>38</xdr:col>
      <xdr:colOff>1095372</xdr:colOff>
      <xdr:row>24</xdr:row>
      <xdr:rowOff>115415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E06D510-3B3F-49F1-3408-14BD3EE8D3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3125" b="98011" l="12008" r="99062">
                      <a14:foregroundMark x1="12101" y1="12926" x2="12101" y2="12926"/>
                      <a14:foregroundMark x1="19700" y1="13636" x2="21951" y2="2699"/>
                      <a14:foregroundMark x1="21951" y1="2699" x2="28049" y2="1705"/>
                      <a14:foregroundMark x1="28049" y1="1705" x2="52158" y2="3125"/>
                      <a14:foregroundMark x1="52158" y1="3125" x2="76079" y2="2557"/>
                      <a14:foregroundMark x1="76079" y1="2557" x2="81332" y2="3267"/>
                      <a14:foregroundMark x1="81332" y1="3267" x2="82270" y2="12074"/>
                      <a14:foregroundMark x1="82270" y1="12074" x2="82270" y2="12074"/>
                      <a14:foregroundMark x1="21951" y1="10369" x2="67636" y2="8807"/>
                      <a14:foregroundMark x1="67636" y1="8807" x2="76923" y2="8949"/>
                      <a14:foregroundMark x1="76923" y1="8949" x2="78893" y2="8381"/>
                      <a14:foregroundMark x1="40432" y1="89205" x2="38274" y2="96591"/>
                      <a14:foregroundMark x1="39681" y1="92330" x2="41276" y2="95881"/>
                      <a14:foregroundMark x1="38743" y1="93892" x2="38180" y2="95028"/>
                      <a14:foregroundMark x1="38180" y1="93608" x2="39212" y2="98153"/>
                      <a14:foregroundMark x1="65666" y1="61222" x2="82927" y2="61080"/>
                      <a14:foregroundMark x1="82927" y1="61080" x2="97467" y2="61790"/>
                      <a14:foregroundMark x1="97467" y1="61790" x2="99156" y2="69886"/>
                      <a14:foregroundMark x1="99156" y1="69886" x2="99062" y2="94176"/>
                      <a14:foregroundMark x1="99062" y1="94176" x2="55722" y2="97159"/>
                      <a14:foregroundMark x1="64634" y1="70028" x2="62664" y2="86080"/>
                      <a14:foregroundMark x1="62664" y1="86080" x2="81801" y2="81960"/>
                      <a14:foregroundMark x1="81801" y1="81960" x2="91932" y2="86932"/>
                      <a14:foregroundMark x1="91932" y1="86932" x2="95591" y2="76563"/>
                      <a14:foregroundMark x1="75422" y1="69744" x2="71388" y2="74858"/>
                      <a14:foregroundMark x1="71388" y1="74858" x2="93527" y2="77557"/>
                      <a14:foregroundMark x1="34240" y1="82813" x2="37992" y2="81960"/>
                      <a14:foregroundMark x1="36116" y1="81534" x2="35460" y2="81960"/>
                      <a14:foregroundMark x1="36773" y1="81392" x2="36679" y2="80824"/>
                      <a14:foregroundMark x1="36116" y1="81392" x2="35647" y2="82528"/>
                      <a14:foregroundMark x1="35366" y1="82386" x2="34709" y2="82102"/>
                      <a14:foregroundMark x1="34522" y1="82102" x2="34522" y2="82386"/>
                      <a14:foregroundMark x1="37805" y1="93892" x2="37242" y2="96023"/>
                      <a14:foregroundMark x1="37617" y1="94176" x2="37336" y2="94460"/>
                      <a14:foregroundMark x1="37430" y1="94034" x2="37617" y2="94744"/>
                      <a14:foregroundMark x1="37336" y1="93750" x2="37899" y2="95313"/>
                      <a14:foregroundMark x1="36679" y1="94886" x2="35835" y2="95313"/>
                      <a14:foregroundMark x1="36679" y1="94460" x2="36585" y2="9531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0815" r="950"/>
        <a:stretch>
          <a:fillRect/>
        </a:stretch>
      </xdr:blipFill>
      <xdr:spPr>
        <a:xfrm>
          <a:off x="26978764" y="2616243"/>
          <a:ext cx="8956127" cy="6547922"/>
        </a:xfrm>
        <a:prstGeom prst="rect">
          <a:avLst/>
        </a:prstGeom>
      </xdr:spPr>
    </xdr:pic>
    <xdr:clientData/>
  </xdr:twoCellAnchor>
  <xdr:twoCellAnchor editAs="absolute">
    <xdr:from>
      <xdr:col>5</xdr:col>
      <xdr:colOff>494894</xdr:colOff>
      <xdr:row>46</xdr:row>
      <xdr:rowOff>371429</xdr:rowOff>
    </xdr:from>
    <xdr:to>
      <xdr:col>12</xdr:col>
      <xdr:colOff>176920</xdr:colOff>
      <xdr:row>51</xdr:row>
      <xdr:rowOff>155521</xdr:rowOff>
    </xdr:to>
    <xdr:sp macro="[0]!StartAutoRun" textlink="">
      <xdr:nvSpPr>
        <xdr:cNvPr id="6" name="สี่เหลี่ยมผืนผ้า: มุมมน 1">
          <a:extLst>
            <a:ext uri="{FF2B5EF4-FFF2-40B4-BE49-F238E27FC236}">
              <a16:creationId xmlns:a16="http://schemas.microsoft.com/office/drawing/2014/main" id="{38AACA96-159F-4619-AC82-C56508065191}"/>
            </a:ext>
          </a:extLst>
        </xdr:cNvPr>
        <xdr:cNvSpPr>
          <a:spLocks noChangeAspect="1"/>
        </xdr:cNvSpPr>
      </xdr:nvSpPr>
      <xdr:spPr>
        <a:xfrm>
          <a:off x="4038194" y="19421429"/>
          <a:ext cx="4558826" cy="2451092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6600" b="1">
              <a:latin typeface="Comic Sans MS" panose="030F0702030302020204" pitchFamily="66" charset="0"/>
              <a:cs typeface="Myanmar Text" panose="020B0502040204020203" pitchFamily="34" charset="0"/>
            </a:rPr>
            <a:t>Start</a:t>
          </a:r>
          <a:endParaRPr lang="th-TH" sz="54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28</xdr:col>
      <xdr:colOff>109523</xdr:colOff>
      <xdr:row>95</xdr:row>
      <xdr:rowOff>176498</xdr:rowOff>
    </xdr:from>
    <xdr:to>
      <xdr:col>32</xdr:col>
      <xdr:colOff>116662</xdr:colOff>
      <xdr:row>108</xdr:row>
      <xdr:rowOff>83019</xdr:rowOff>
    </xdr:to>
    <xdr:sp macro="[0]!StopAutoRun" textlink="">
      <xdr:nvSpPr>
        <xdr:cNvPr id="10" name="สี่เหลี่ยมผืนผ้า: มุมมน 1">
          <a:extLst>
            <a:ext uri="{FF2B5EF4-FFF2-40B4-BE49-F238E27FC236}">
              <a16:creationId xmlns:a16="http://schemas.microsoft.com/office/drawing/2014/main" id="{CBC30D39-08EF-4177-9B0E-F411A13C886E}"/>
            </a:ext>
          </a:extLst>
        </xdr:cNvPr>
        <xdr:cNvSpPr>
          <a:spLocks noChangeAspect="1"/>
        </xdr:cNvSpPr>
      </xdr:nvSpPr>
      <xdr:spPr>
        <a:xfrm>
          <a:off x="20988323" y="35076098"/>
          <a:ext cx="4426739" cy="238302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6600" b="1">
              <a:latin typeface="Comic Sans MS" panose="030F0702030302020204" pitchFamily="66" charset="0"/>
              <a:cs typeface="Myanmar Text" panose="020B0502040204020203" pitchFamily="34" charset="0"/>
            </a:rPr>
            <a:t>Stop</a:t>
          </a:r>
          <a:endParaRPr lang="th-TH" sz="66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27</xdr:col>
      <xdr:colOff>627286</xdr:colOff>
      <xdr:row>47</xdr:row>
      <xdr:rowOff>95414</xdr:rowOff>
    </xdr:from>
    <xdr:to>
      <xdr:col>32</xdr:col>
      <xdr:colOff>16843</xdr:colOff>
      <xdr:row>51</xdr:row>
      <xdr:rowOff>217835</xdr:rowOff>
    </xdr:to>
    <xdr:sp macro="[0]!ResetTmp" textlink="">
      <xdr:nvSpPr>
        <xdr:cNvPr id="11" name="สี่เหลี่ยมผืนผ้า: มุมมน 1">
          <a:extLst>
            <a:ext uri="{FF2B5EF4-FFF2-40B4-BE49-F238E27FC236}">
              <a16:creationId xmlns:a16="http://schemas.microsoft.com/office/drawing/2014/main" id="{57E66E99-6122-16E2-3982-B30CDAF9F9B8}"/>
            </a:ext>
          </a:extLst>
        </xdr:cNvPr>
        <xdr:cNvSpPr>
          <a:spLocks noChangeAspect="1"/>
        </xdr:cNvSpPr>
      </xdr:nvSpPr>
      <xdr:spPr>
        <a:xfrm>
          <a:off x="20858386" y="19678814"/>
          <a:ext cx="4456857" cy="225602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6600" b="1">
              <a:latin typeface="Comic Sans MS" panose="030F0702030302020204" pitchFamily="66" charset="0"/>
              <a:cs typeface="Myanmar Text" panose="020B0502040204020203" pitchFamily="34" charset="0"/>
            </a:rPr>
            <a:t>Clear</a:t>
          </a:r>
          <a:r>
            <a:rPr lang="en-US" sz="6600" b="1" baseline="0">
              <a:latin typeface="Comic Sans MS" panose="030F0702030302020204" pitchFamily="66" charset="0"/>
              <a:cs typeface="Myanmar Text" panose="020B0502040204020203" pitchFamily="34" charset="0"/>
            </a:rPr>
            <a:t> tmp</a:t>
          </a:r>
          <a:endParaRPr lang="th-TH" sz="2800" b="1">
            <a:latin typeface="Comic Sans MS" panose="030F0702030302020204" pitchFamily="66" charset="0"/>
          </a:endParaRPr>
        </a:p>
      </xdr:txBody>
    </xdr:sp>
    <xdr:clientData/>
  </xdr:twoCellAnchor>
  <xdr:twoCellAnchor editAs="oneCell">
    <xdr:from>
      <xdr:col>41</xdr:col>
      <xdr:colOff>1637567</xdr:colOff>
      <xdr:row>25</xdr:row>
      <xdr:rowOff>144706</xdr:rowOff>
    </xdr:from>
    <xdr:to>
      <xdr:col>45</xdr:col>
      <xdr:colOff>364515</xdr:colOff>
      <xdr:row>33</xdr:row>
      <xdr:rowOff>52938</xdr:rowOff>
    </xdr:to>
    <xdr:pic>
      <xdr:nvPicPr>
        <xdr:cNvPr id="13" name="Graphic 12" descr="Lightbulb">
          <a:extLst>
            <a:ext uri="{FF2B5EF4-FFF2-40B4-BE49-F238E27FC236}">
              <a16:creationId xmlns:a16="http://schemas.microsoft.com/office/drawing/2014/main" id="{0D171998-0C47-07FF-4BB0-CB7800350D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9774202" y="9303360"/>
          <a:ext cx="2903294" cy="24288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243113</xdr:colOff>
      <xdr:row>4</xdr:row>
      <xdr:rowOff>95250</xdr:rowOff>
    </xdr:from>
    <xdr:to>
      <xdr:col>12</xdr:col>
      <xdr:colOff>638175</xdr:colOff>
      <xdr:row>6</xdr:row>
      <xdr:rowOff>236606</xdr:rowOff>
    </xdr:to>
    <xdr:sp macro="[0]!Back_Click" textlink="">
      <xdr:nvSpPr>
        <xdr:cNvPr id="3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spect="1"/>
        </xdr:cNvSpPr>
      </xdr:nvSpPr>
      <xdr:spPr>
        <a:xfrm>
          <a:off x="7929788" y="2009775"/>
          <a:ext cx="1728562" cy="71285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BACK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 editAs="oneCell">
    <xdr:from>
      <xdr:col>0</xdr:col>
      <xdr:colOff>294409</xdr:colOff>
      <xdr:row>0</xdr:row>
      <xdr:rowOff>17320</xdr:rowOff>
    </xdr:from>
    <xdr:to>
      <xdr:col>7</xdr:col>
      <xdr:colOff>1375</xdr:colOff>
      <xdr:row>1</xdr:row>
      <xdr:rowOff>335876</xdr:rowOff>
    </xdr:to>
    <xdr:pic>
      <xdr:nvPicPr>
        <xdr:cNvPr id="6" name="รูปภาพ 8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17320"/>
          <a:ext cx="5267325" cy="1271056"/>
        </a:xfrm>
        <a:prstGeom prst="rect">
          <a:avLst/>
        </a:prstGeom>
      </xdr:spPr>
    </xdr:pic>
    <xdr:clientData/>
  </xdr:twoCellAnchor>
  <xdr:twoCellAnchor editAs="oneCell">
    <xdr:from>
      <xdr:col>0</xdr:col>
      <xdr:colOff>294409</xdr:colOff>
      <xdr:row>0</xdr:row>
      <xdr:rowOff>17320</xdr:rowOff>
    </xdr:from>
    <xdr:to>
      <xdr:col>7</xdr:col>
      <xdr:colOff>1375</xdr:colOff>
      <xdr:row>1</xdr:row>
      <xdr:rowOff>335876</xdr:rowOff>
    </xdr:to>
    <xdr:pic>
      <xdr:nvPicPr>
        <xdr:cNvPr id="7" name="รูปภาพ 8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17320"/>
          <a:ext cx="4682378" cy="1271056"/>
        </a:xfrm>
        <a:prstGeom prst="rect">
          <a:avLst/>
        </a:prstGeom>
      </xdr:spPr>
    </xdr:pic>
    <xdr:clientData/>
  </xdr:twoCellAnchor>
  <xdr:twoCellAnchor editAs="oneCell">
    <xdr:from>
      <xdr:col>11</xdr:col>
      <xdr:colOff>272142</xdr:colOff>
      <xdr:row>0</xdr:row>
      <xdr:rowOff>366352</xdr:rowOff>
    </xdr:from>
    <xdr:to>
      <xdr:col>18</xdr:col>
      <xdr:colOff>212992</xdr:colOff>
      <xdr:row>2</xdr:row>
      <xdr:rowOff>35012</xdr:rowOff>
    </xdr:to>
    <xdr:pic>
      <xdr:nvPicPr>
        <xdr:cNvPr id="8" name="รูปภาพ 10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15" t="36319" r="14438" b="37166"/>
        <a:stretch/>
      </xdr:blipFill>
      <xdr:spPr>
        <a:xfrm rot="546975">
          <a:off x="8694963" y="366352"/>
          <a:ext cx="4703350" cy="988553"/>
        </a:xfrm>
        <a:prstGeom prst="rect">
          <a:avLst/>
        </a:prstGeom>
      </xdr:spPr>
    </xdr:pic>
    <xdr:clientData/>
  </xdr:twoCellAnchor>
  <xdr:twoCellAnchor>
    <xdr:from>
      <xdr:col>0</xdr:col>
      <xdr:colOff>330013</xdr:colOff>
      <xdr:row>17</xdr:row>
      <xdr:rowOff>178872</xdr:rowOff>
    </xdr:from>
    <xdr:to>
      <xdr:col>5</xdr:col>
      <xdr:colOff>168088</xdr:colOff>
      <xdr:row>28</xdr:row>
      <xdr:rowOff>95530</xdr:rowOff>
    </xdr:to>
    <xdr:grpSp>
      <xdr:nvGrpSpPr>
        <xdr:cNvPr id="23" name="กลุ่ม 22">
          <a:extLst>
            <a:ext uri="{FF2B5EF4-FFF2-40B4-BE49-F238E27FC236}">
              <a16:creationId xmlns:a16="http://schemas.microsoft.com/office/drawing/2014/main" id="{E835E5F8-29D4-CE2B-2490-E9E13AD9337F}"/>
            </a:ext>
          </a:extLst>
        </xdr:cNvPr>
        <xdr:cNvGrpSpPr/>
      </xdr:nvGrpSpPr>
      <xdr:grpSpPr>
        <a:xfrm>
          <a:off x="330013" y="5186301"/>
          <a:ext cx="3335111" cy="1862479"/>
          <a:chOff x="352425" y="4548185"/>
          <a:chExt cx="2909888" cy="2012158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3673" t="29901" r="10939" b="13976"/>
          <a:stretch/>
        </xdr:blipFill>
        <xdr:spPr>
          <a:xfrm>
            <a:off x="352425" y="4857750"/>
            <a:ext cx="2909888" cy="1452145"/>
          </a:xfrm>
          <a:prstGeom prst="rect">
            <a:avLst/>
          </a:prstGeom>
        </xdr:spPr>
      </xdr:pic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1166819" y="4548185"/>
            <a:ext cx="1273967" cy="297658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49.600</a:t>
            </a:r>
            <a:r>
              <a:rPr lang="en-US" sz="1100" baseline="0"/>
              <a:t> - 49.625</a:t>
            </a:r>
            <a:endParaRPr lang="th-TH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1143007" y="6274593"/>
            <a:ext cx="1250154" cy="285750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50.031 - 50.056</a:t>
            </a:r>
            <a:endParaRPr lang="th-TH" sz="1100"/>
          </a:p>
        </xdr:txBody>
      </xdr:sp>
    </xdr:grpSp>
    <xdr:clientData/>
  </xdr:twoCellAnchor>
  <xdr:twoCellAnchor>
    <xdr:from>
      <xdr:col>13</xdr:col>
      <xdr:colOff>195489</xdr:colOff>
      <xdr:row>4</xdr:row>
      <xdr:rowOff>90054</xdr:rowOff>
    </xdr:from>
    <xdr:to>
      <xdr:col>15</xdr:col>
      <xdr:colOff>590550</xdr:colOff>
      <xdr:row>6</xdr:row>
      <xdr:rowOff>231410</xdr:rowOff>
    </xdr:to>
    <xdr:sp macro="[0]!NextHistory_Click" textlink="">
      <xdr:nvSpPr>
        <xdr:cNvPr id="14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>
          <a:spLocks noChangeAspect="1"/>
        </xdr:cNvSpPr>
      </xdr:nvSpPr>
      <xdr:spPr>
        <a:xfrm>
          <a:off x="9882414" y="2004579"/>
          <a:ext cx="1728561" cy="71285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Next</a:t>
          </a:r>
          <a:r>
            <a:rPr lang="en-US" sz="1800" b="1" baseline="0">
              <a:latin typeface="Comic Sans MS" panose="030F0702030302020204" pitchFamily="66" charset="0"/>
              <a:cs typeface="Myanmar Text" panose="020B0502040204020203" pitchFamily="34" charset="0"/>
            </a:rPr>
            <a:t> Page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10</xdr:col>
      <xdr:colOff>243113</xdr:colOff>
      <xdr:row>7</xdr:row>
      <xdr:rowOff>230981</xdr:rowOff>
    </xdr:from>
    <xdr:to>
      <xdr:col>12</xdr:col>
      <xdr:colOff>638175</xdr:colOff>
      <xdr:row>10</xdr:row>
      <xdr:rowOff>200887</xdr:rowOff>
    </xdr:to>
    <xdr:sp macro="[0]!f_airgaugeClear" textlink="">
      <xdr:nvSpPr>
        <xdr:cNvPr id="16" name="สี่เหลี่ยมผืนผ้า: มุมมน 1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>
          <a:spLocks noChangeAspect="1"/>
        </xdr:cNvSpPr>
      </xdr:nvSpPr>
      <xdr:spPr>
        <a:xfrm>
          <a:off x="7929788" y="2964656"/>
          <a:ext cx="1728562" cy="71285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Clear Content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5</xdr:col>
      <xdr:colOff>472889</xdr:colOff>
      <xdr:row>17</xdr:row>
      <xdr:rowOff>151700</xdr:rowOff>
    </xdr:from>
    <xdr:to>
      <xdr:col>9</xdr:col>
      <xdr:colOff>67113</xdr:colOff>
      <xdr:row>33</xdr:row>
      <xdr:rowOff>88419</xdr:rowOff>
    </xdr:to>
    <xdr:grpSp>
      <xdr:nvGrpSpPr>
        <xdr:cNvPr id="22" name="กลุ่ม 21">
          <a:extLst>
            <a:ext uri="{FF2B5EF4-FFF2-40B4-BE49-F238E27FC236}">
              <a16:creationId xmlns:a16="http://schemas.microsoft.com/office/drawing/2014/main" id="{081253EF-3507-35D0-8BAA-E6C4AC69DCB3}"/>
            </a:ext>
          </a:extLst>
        </xdr:cNvPr>
        <xdr:cNvGrpSpPr/>
      </xdr:nvGrpSpPr>
      <xdr:grpSpPr>
        <a:xfrm>
          <a:off x="3969925" y="5159129"/>
          <a:ext cx="3159295" cy="2767004"/>
          <a:chOff x="3567114" y="4543425"/>
          <a:chExt cx="2725567" cy="2984719"/>
        </a:xfrm>
      </xdr:grpSpPr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868" t="7298" r="21855"/>
          <a:stretch/>
        </xdr:blipFill>
        <xdr:spPr>
          <a:xfrm>
            <a:off x="3567114" y="4543425"/>
            <a:ext cx="2725567" cy="2984719"/>
          </a:xfrm>
          <a:prstGeom prst="rect">
            <a:avLst/>
          </a:prstGeom>
        </xdr:spPr>
      </xdr:pic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4532617" y="7063153"/>
            <a:ext cx="771160" cy="168519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/>
              <a:t>59.910-59.940</a:t>
            </a:r>
            <a:endParaRPr lang="th-TH" sz="1100"/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4531152" y="6849206"/>
            <a:ext cx="771160" cy="17584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/>
              <a:t>50.031-50.056</a:t>
            </a:r>
            <a:endParaRPr lang="th-TH" sz="1100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4483523" y="7220896"/>
            <a:ext cx="898101" cy="26181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/>
              <a:t>140.000-141.000</a:t>
            </a:r>
            <a:endParaRPr lang="th-TH" sz="1100"/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4476749" y="5988842"/>
            <a:ext cx="898101" cy="20240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>
                <a:solidFill>
                  <a:schemeClr val="bg1"/>
                </a:solidFill>
              </a:rPr>
              <a:t>43.800-43.825</a:t>
            </a:r>
            <a:endParaRPr lang="th-TH" sz="1100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10</xdr:col>
      <xdr:colOff>258536</xdr:colOff>
      <xdr:row>12</xdr:row>
      <xdr:rowOff>0</xdr:rowOff>
    </xdr:from>
    <xdr:to>
      <xdr:col>12</xdr:col>
      <xdr:colOff>653598</xdr:colOff>
      <xdr:row>15</xdr:row>
      <xdr:rowOff>133192</xdr:rowOff>
    </xdr:to>
    <xdr:sp macro="[0]!StartAutoRun" textlink="">
      <xdr:nvSpPr>
        <xdr:cNvPr id="2" name="สี่เหลี่ยมผืนผ้า: มุมมน 1">
          <a:extLst>
            <a:ext uri="{FF2B5EF4-FFF2-40B4-BE49-F238E27FC236}">
              <a16:creationId xmlns:a16="http://schemas.microsoft.com/office/drawing/2014/main" id="{740A455D-4092-4480-91D3-46E6AD9B2B21}"/>
            </a:ext>
          </a:extLst>
        </xdr:cNvPr>
        <xdr:cNvSpPr>
          <a:spLocks noChangeAspect="1"/>
        </xdr:cNvSpPr>
      </xdr:nvSpPr>
      <xdr:spPr>
        <a:xfrm>
          <a:off x="8001000" y="3905250"/>
          <a:ext cx="1755777" cy="704692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Start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13</xdr:col>
      <xdr:colOff>288471</xdr:colOff>
      <xdr:row>12</xdr:row>
      <xdr:rowOff>2721</xdr:rowOff>
    </xdr:from>
    <xdr:to>
      <xdr:col>16</xdr:col>
      <xdr:colOff>3177</xdr:colOff>
      <xdr:row>15</xdr:row>
      <xdr:rowOff>135913</xdr:rowOff>
    </xdr:to>
    <xdr:sp macro="[0]!StopAutoRun" textlink="">
      <xdr:nvSpPr>
        <xdr:cNvPr id="19" name="สี่เหลี่ยมผืนผ้า: มุมมน 1">
          <a:extLst>
            <a:ext uri="{FF2B5EF4-FFF2-40B4-BE49-F238E27FC236}">
              <a16:creationId xmlns:a16="http://schemas.microsoft.com/office/drawing/2014/main" id="{82D33265-9DA5-4F99-92ED-A69C4E725ABD}"/>
            </a:ext>
          </a:extLst>
        </xdr:cNvPr>
        <xdr:cNvSpPr>
          <a:spLocks noChangeAspect="1"/>
        </xdr:cNvSpPr>
      </xdr:nvSpPr>
      <xdr:spPr>
        <a:xfrm>
          <a:off x="10072007" y="3907971"/>
          <a:ext cx="1755777" cy="704692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Stop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428626</xdr:colOff>
      <xdr:row>0</xdr:row>
      <xdr:rowOff>152401</xdr:rowOff>
    </xdr:from>
    <xdr:to>
      <xdr:col>23</xdr:col>
      <xdr:colOff>333375</xdr:colOff>
      <xdr:row>4</xdr:row>
      <xdr:rowOff>23812</xdr:rowOff>
    </xdr:to>
    <xdr:sp macro="[0]!Airgauge_Click" textlink="">
      <xdr:nvSpPr>
        <xdr:cNvPr id="3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4491157" y="152401"/>
          <a:ext cx="1285874" cy="58578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Comic Sans MS" panose="030F0702030302020204" pitchFamily="66" charset="0"/>
              <a:cs typeface="Myanmar Text" panose="020B0502040204020203" pitchFamily="34" charset="0"/>
            </a:rPr>
            <a:t>BACK</a:t>
          </a:r>
          <a:endParaRPr lang="th-TH" sz="1800"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23</xdr:col>
      <xdr:colOff>452438</xdr:colOff>
      <xdr:row>0</xdr:row>
      <xdr:rowOff>152401</xdr:rowOff>
    </xdr:from>
    <xdr:to>
      <xdr:col>25</xdr:col>
      <xdr:colOff>357187</xdr:colOff>
      <xdr:row>4</xdr:row>
      <xdr:rowOff>23812</xdr:rowOff>
    </xdr:to>
    <xdr:sp macro="[0]!clearHistory" textlink="">
      <xdr:nvSpPr>
        <xdr:cNvPr id="4" name="สี่เหลี่ยมผืนผ้า: มุมมน 2">
          <a:extLst>
            <a:ext uri="{FF2B5EF4-FFF2-40B4-BE49-F238E27FC236}">
              <a16:creationId xmlns:a16="http://schemas.microsoft.com/office/drawing/2014/main" id="{39BAC54A-D746-25C3-2826-40EDD88AB364}"/>
            </a:ext>
          </a:extLst>
        </xdr:cNvPr>
        <xdr:cNvSpPr/>
      </xdr:nvSpPr>
      <xdr:spPr>
        <a:xfrm>
          <a:off x="17645063" y="152401"/>
          <a:ext cx="1285874" cy="58578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Comic Sans MS" panose="030F0702030302020204" pitchFamily="66" charset="0"/>
              <a:cs typeface="Myanmar Text" panose="020B0502040204020203" pitchFamily="34" charset="0"/>
            </a:rPr>
            <a:t>Claer</a:t>
          </a:r>
          <a:endParaRPr lang="th-TH" sz="1800"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26</xdr:col>
      <xdr:colOff>0</xdr:colOff>
      <xdr:row>0</xdr:row>
      <xdr:rowOff>140495</xdr:rowOff>
    </xdr:from>
    <xdr:to>
      <xdr:col>27</xdr:col>
      <xdr:colOff>500062</xdr:colOff>
      <xdr:row>4</xdr:row>
      <xdr:rowOff>11906</xdr:rowOff>
    </xdr:to>
    <xdr:sp macro="[0]!f_Export_History" textlink="">
      <xdr:nvSpPr>
        <xdr:cNvPr id="6" name="สี่เหลี่ยมผืนผ้า: มุมมน 2">
          <a:extLst>
            <a:ext uri="{FF2B5EF4-FFF2-40B4-BE49-F238E27FC236}">
              <a16:creationId xmlns:a16="http://schemas.microsoft.com/office/drawing/2014/main" id="{38B91242-A0A7-6B6C-2CED-C254CF5F3533}"/>
            </a:ext>
          </a:extLst>
        </xdr:cNvPr>
        <xdr:cNvSpPr/>
      </xdr:nvSpPr>
      <xdr:spPr>
        <a:xfrm>
          <a:off x="16835438" y="140495"/>
          <a:ext cx="1095374" cy="63341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Comic Sans MS" panose="030F0702030302020204" pitchFamily="66" charset="0"/>
              <a:cs typeface="Myanmar Text" panose="020B0502040204020203" pitchFamily="34" charset="0"/>
            </a:rPr>
            <a:t>Export</a:t>
          </a:r>
          <a:endParaRPr lang="th-TH" sz="1800">
            <a:latin typeface="Comic Sans MS" panose="030F0702030302020204" pitchFamily="66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5:J11" totalsRowShown="0" headerRowDxfId="9" dataDxfId="8">
  <autoFilter ref="A5:J11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0000-000001000000}" name="NO." dataDxfId="7"/>
    <tableColumn id="2" xr3:uid="{00000000-0010-0000-0000-000002000000}" name="Size" dataDxfId="6"/>
    <tableColumn id="3" xr3:uid="{00000000-0010-0000-0000-000003000000}" name="Tol Max" dataDxfId="5"/>
    <tableColumn id="4" xr3:uid="{00000000-0010-0000-0000-000004000000}" name="Tol Min" dataDxfId="4"/>
    <tableColumn id="5" xr3:uid="{00000000-0010-0000-0000-000005000000}" name="Actual" dataDxfId="3"/>
    <tableColumn id="6" xr3:uid="{00000000-0010-0000-0000-000006000000}" name="Actual2" dataDxfId="2"/>
    <tableColumn id="7" xr3:uid="{00000000-0010-0000-0000-000007000000}" name="OK/NG" dataDxfId="1"/>
    <tableColumn id="8" xr3:uid="{00000000-0010-0000-0000-000008000000}" name="Max"/>
    <tableColumn id="9" xr3:uid="{00000000-0010-0000-0000-000009000000}" name="Min"/>
    <tableColumn id="10" xr3:uid="{00000000-0010-0000-0000-00000A000000}" name="START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X80"/>
  <sheetViews>
    <sheetView tabSelected="1" zoomScale="25" zoomScaleNormal="25" workbookViewId="0">
      <selection activeCell="B5" sqref="B5:O5"/>
    </sheetView>
  </sheetViews>
  <sheetFormatPr defaultColWidth="9" defaultRowHeight="14.25" x14ac:dyDescent="0.2"/>
  <cols>
    <col min="1" max="1" width="9.625" customWidth="1"/>
    <col min="2" max="7" width="10.625" customWidth="1"/>
    <col min="8" max="8" width="12.125" customWidth="1"/>
    <col min="9" max="11" width="10.625" customWidth="1"/>
    <col min="12" max="16" width="6.75" customWidth="1"/>
    <col min="17" max="17" width="28.875" customWidth="1"/>
    <col min="18" max="18" width="12.375" customWidth="1"/>
    <col min="19" max="19" width="7.25" customWidth="1"/>
    <col min="20" max="20" width="10.625" customWidth="1"/>
    <col min="21" max="21" width="7.375" style="39" customWidth="1"/>
    <col min="22" max="22" width="6" customWidth="1"/>
    <col min="23" max="26" width="16.375" customWidth="1"/>
    <col min="27" max="28" width="9.625" customWidth="1"/>
    <col min="29" max="32" width="16.375" customWidth="1"/>
    <col min="33" max="34" width="9.625" customWidth="1"/>
    <col min="35" max="41" width="16.375" customWidth="1"/>
    <col min="42" max="42" width="27.375" style="40" customWidth="1"/>
    <col min="49" max="49" width="0.25" customWidth="1"/>
    <col min="50" max="50" width="15.25" customWidth="1"/>
  </cols>
  <sheetData>
    <row r="1" spans="1:50" s="14" customFormat="1" ht="75" customHeight="1" x14ac:dyDescent="1.35">
      <c r="A1" s="10"/>
      <c r="B1" s="11"/>
      <c r="C1" s="11"/>
      <c r="D1" s="11"/>
      <c r="E1" s="11"/>
      <c r="F1" s="11"/>
      <c r="G1" s="12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36"/>
      <c r="AQ1" s="11"/>
      <c r="AR1" s="11"/>
      <c r="AS1" s="11"/>
      <c r="AT1" s="11"/>
      <c r="AU1" s="11"/>
    </row>
    <row r="2" spans="1:50" s="39" customFormat="1" ht="29.25" customHeight="1" x14ac:dyDescent="0.3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8"/>
      <c r="AQ2" s="37"/>
      <c r="AR2" s="37"/>
      <c r="AS2" s="37"/>
      <c r="AT2" s="37"/>
      <c r="AU2" s="37"/>
    </row>
    <row r="3" spans="1:50" ht="14.25" customHeight="1" x14ac:dyDescent="0.2"/>
    <row r="4" spans="1:50" ht="58.5" x14ac:dyDescent="0.7">
      <c r="A4" s="41"/>
      <c r="B4" s="83" t="s">
        <v>9</v>
      </c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S4" s="85"/>
      <c r="W4" s="83" t="s">
        <v>12</v>
      </c>
      <c r="X4" s="117"/>
      <c r="Y4" s="117"/>
      <c r="Z4" s="117"/>
      <c r="AA4" s="117"/>
      <c r="AB4" s="117"/>
      <c r="AC4" s="117"/>
      <c r="AD4" s="117"/>
      <c r="AE4" s="117"/>
      <c r="AF4" s="117"/>
      <c r="AG4" s="117"/>
      <c r="AH4" s="117"/>
      <c r="AI4" s="117"/>
      <c r="AJ4" s="117"/>
      <c r="AK4" s="117"/>
      <c r="AL4" s="117"/>
      <c r="AM4" s="118"/>
      <c r="AN4" s="42"/>
    </row>
    <row r="5" spans="1:50" s="43" customFormat="1" ht="87.75" x14ac:dyDescent="1.05"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111"/>
      <c r="Q5" s="112"/>
      <c r="R5" s="112"/>
      <c r="S5" s="113"/>
      <c r="U5" s="44"/>
      <c r="AP5" s="45"/>
    </row>
    <row r="6" spans="1:50" s="43" customFormat="1" ht="88.9" customHeight="1" x14ac:dyDescent="1.05"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114"/>
      <c r="Q6" s="115"/>
      <c r="R6" s="115"/>
      <c r="S6" s="116"/>
      <c r="U6" s="44"/>
      <c r="AP6" s="45"/>
    </row>
    <row r="7" spans="1:50" x14ac:dyDescent="0.2">
      <c r="AX7" s="119"/>
    </row>
    <row r="8" spans="1:50" x14ac:dyDescent="0.2">
      <c r="AX8" s="119"/>
    </row>
    <row r="9" spans="1:50" ht="13.9" customHeight="1" x14ac:dyDescent="0.2">
      <c r="AX9" s="119"/>
    </row>
    <row r="10" spans="1:50" ht="13.9" customHeight="1" x14ac:dyDescent="0.2">
      <c r="AX10" s="119"/>
    </row>
    <row r="11" spans="1:50" ht="13.9" customHeight="1" x14ac:dyDescent="0.2">
      <c r="AX11" s="119"/>
    </row>
    <row r="12" spans="1:50" ht="13.9" customHeight="1" x14ac:dyDescent="0.2">
      <c r="W12" s="46"/>
      <c r="X12" s="46"/>
      <c r="AX12" s="119"/>
    </row>
    <row r="13" spans="1:50" ht="9" customHeight="1" x14ac:dyDescent="0.2">
      <c r="W13" s="46"/>
      <c r="X13" s="46"/>
      <c r="Y13" s="110"/>
      <c r="Z13" s="110"/>
      <c r="AA13" s="110"/>
      <c r="AB13" s="110"/>
      <c r="AX13" s="119"/>
    </row>
    <row r="14" spans="1:50" ht="20.25" customHeight="1" x14ac:dyDescent="0.2">
      <c r="W14" s="47" t="s">
        <v>23</v>
      </c>
      <c r="X14" s="48"/>
      <c r="AX14" s="119"/>
    </row>
    <row r="15" spans="1:50" ht="20.25" customHeight="1" x14ac:dyDescent="0.2">
      <c r="W15" s="47" t="s">
        <v>24</v>
      </c>
      <c r="X15" s="48"/>
      <c r="AX15" s="119"/>
    </row>
    <row r="16" spans="1:50" ht="20.25" customHeight="1" x14ac:dyDescent="0.2">
      <c r="W16" s="49" t="s">
        <v>21</v>
      </c>
      <c r="X16" s="48"/>
      <c r="AX16" s="119"/>
    </row>
    <row r="17" spans="2:38" ht="20.25" customHeight="1" x14ac:dyDescent="0.2">
      <c r="W17" s="49" t="s">
        <v>22</v>
      </c>
      <c r="X17" s="48"/>
    </row>
    <row r="18" spans="2:38" ht="69.599999999999994" customHeight="1" x14ac:dyDescent="0.2">
      <c r="B18" s="88" t="s">
        <v>11</v>
      </c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90"/>
      <c r="W18" s="46"/>
      <c r="X18" s="46"/>
    </row>
    <row r="19" spans="2:38" ht="13.9" customHeight="1" x14ac:dyDescent="0.2">
      <c r="W19" s="46"/>
      <c r="X19" s="46"/>
    </row>
    <row r="21" spans="2:38" ht="30" customHeight="1" x14ac:dyDescent="0.2">
      <c r="Q21" s="34"/>
      <c r="R21" s="50"/>
    </row>
    <row r="22" spans="2:38" ht="30" customHeight="1" x14ac:dyDescent="0.2">
      <c r="Q22" s="35"/>
      <c r="R22" s="50"/>
    </row>
    <row r="23" spans="2:38" x14ac:dyDescent="0.2">
      <c r="Q23" s="51"/>
      <c r="R23" s="51"/>
    </row>
    <row r="24" spans="2:38" ht="14.45" customHeight="1" x14ac:dyDescent="0.2">
      <c r="Q24" s="51"/>
      <c r="R24" s="51"/>
    </row>
    <row r="25" spans="2:38" x14ac:dyDescent="0.2">
      <c r="B25" s="23"/>
      <c r="Q25" s="110"/>
      <c r="R25" s="110"/>
      <c r="S25" s="110"/>
    </row>
    <row r="27" spans="2:38" ht="13.9" customHeight="1" x14ac:dyDescent="0.2">
      <c r="W27" s="52"/>
      <c r="X27" s="52"/>
      <c r="Y27" s="52"/>
      <c r="Z27" s="52"/>
      <c r="AC27" s="52"/>
      <c r="AD27" s="52"/>
      <c r="AE27" s="52"/>
      <c r="AF27" s="52"/>
      <c r="AI27" s="52"/>
      <c r="AJ27" s="52"/>
      <c r="AK27" s="52"/>
      <c r="AL27" s="52"/>
    </row>
    <row r="28" spans="2:38" ht="13.9" customHeight="1" x14ac:dyDescent="0.2">
      <c r="W28" s="52"/>
      <c r="X28" s="52"/>
      <c r="Y28" s="52"/>
      <c r="Z28" s="52"/>
      <c r="AC28" s="52"/>
      <c r="AD28" s="52"/>
      <c r="AE28" s="52"/>
      <c r="AF28" s="52"/>
      <c r="AI28" s="52"/>
      <c r="AJ28" s="52"/>
      <c r="AK28" s="52"/>
      <c r="AL28" s="52"/>
    </row>
    <row r="29" spans="2:38" ht="13.5" customHeight="1" x14ac:dyDescent="0.2">
      <c r="B29" s="81"/>
      <c r="C29" s="81"/>
      <c r="D29" s="81"/>
      <c r="E29" s="81"/>
      <c r="F29" s="81"/>
      <c r="J29" s="81"/>
      <c r="K29" s="81"/>
      <c r="L29" s="81"/>
      <c r="M29" s="81"/>
      <c r="N29" s="81"/>
      <c r="W29" s="52"/>
      <c r="X29" s="52"/>
      <c r="Y29" s="52"/>
      <c r="Z29" s="52"/>
      <c r="AC29" s="52"/>
      <c r="AD29" s="52"/>
      <c r="AE29" s="52"/>
      <c r="AF29" s="52"/>
      <c r="AI29" s="52"/>
      <c r="AJ29" s="52"/>
      <c r="AK29" s="52"/>
      <c r="AL29" s="52"/>
    </row>
    <row r="30" spans="2:38" x14ac:dyDescent="0.2">
      <c r="B30" s="81"/>
      <c r="C30" s="81"/>
      <c r="D30" s="81"/>
      <c r="E30" s="81"/>
      <c r="F30" s="81"/>
      <c r="J30" s="81"/>
      <c r="K30" s="81"/>
      <c r="L30" s="81"/>
      <c r="M30" s="81"/>
      <c r="N30" s="81"/>
    </row>
    <row r="31" spans="2:38" ht="40.5" customHeight="1" x14ac:dyDescent="0.2">
      <c r="B31" s="93"/>
      <c r="C31" s="94"/>
      <c r="D31" s="94"/>
      <c r="E31" s="94"/>
      <c r="F31" s="94"/>
      <c r="G31" s="95"/>
      <c r="H31" s="99"/>
      <c r="J31" s="53"/>
      <c r="K31" s="53"/>
      <c r="L31" s="93"/>
      <c r="M31" s="94"/>
      <c r="N31" s="94"/>
      <c r="O31" s="94"/>
      <c r="P31" s="94"/>
      <c r="Q31" s="95"/>
      <c r="R31" s="91"/>
      <c r="W31" s="101">
        <f>Airgauge!E6</f>
        <v>50.009</v>
      </c>
      <c r="X31" s="102"/>
      <c r="Y31" s="102"/>
      <c r="Z31" s="103"/>
      <c r="AC31" s="101">
        <f>Airgauge!E7</f>
        <v>49.613</v>
      </c>
      <c r="AD31" s="102"/>
      <c r="AE31" s="102"/>
      <c r="AF31" s="103"/>
      <c r="AI31" s="101">
        <f>Airgauge!E8</f>
        <v>50.043999999999997</v>
      </c>
      <c r="AJ31" s="102"/>
      <c r="AK31" s="102"/>
      <c r="AL31" s="103"/>
    </row>
    <row r="32" spans="2:38" ht="40.5" customHeight="1" x14ac:dyDescent="0.2">
      <c r="B32" s="96"/>
      <c r="C32" s="97"/>
      <c r="D32" s="97"/>
      <c r="E32" s="97"/>
      <c r="F32" s="97"/>
      <c r="G32" s="98"/>
      <c r="H32" s="100"/>
      <c r="J32" s="53"/>
      <c r="K32" s="53"/>
      <c r="L32" s="96"/>
      <c r="M32" s="97"/>
      <c r="N32" s="97"/>
      <c r="O32" s="97"/>
      <c r="P32" s="97"/>
      <c r="Q32" s="98"/>
      <c r="R32" s="92"/>
      <c r="W32" s="104"/>
      <c r="X32" s="105"/>
      <c r="Y32" s="105"/>
      <c r="Z32" s="106"/>
      <c r="AC32" s="104"/>
      <c r="AD32" s="105"/>
      <c r="AE32" s="105"/>
      <c r="AF32" s="106"/>
      <c r="AI32" s="104"/>
      <c r="AJ32" s="105"/>
      <c r="AK32" s="105"/>
      <c r="AL32" s="106"/>
    </row>
    <row r="33" spans="23:38" ht="40.5" customHeight="1" x14ac:dyDescent="0.2">
      <c r="W33" s="104"/>
      <c r="X33" s="105"/>
      <c r="Y33" s="105"/>
      <c r="Z33" s="106"/>
      <c r="AC33" s="104"/>
      <c r="AD33" s="105"/>
      <c r="AE33" s="105"/>
      <c r="AF33" s="106"/>
      <c r="AI33" s="104"/>
      <c r="AJ33" s="105"/>
      <c r="AK33" s="105"/>
      <c r="AL33" s="106"/>
    </row>
    <row r="34" spans="23:38" ht="40.5" customHeight="1" x14ac:dyDescent="0.2">
      <c r="W34" s="107"/>
      <c r="X34" s="108"/>
      <c r="Y34" s="108"/>
      <c r="Z34" s="109"/>
      <c r="AC34" s="107"/>
      <c r="AD34" s="108"/>
      <c r="AE34" s="108"/>
      <c r="AF34" s="109"/>
      <c r="AI34" s="107"/>
      <c r="AJ34" s="108"/>
      <c r="AK34" s="108"/>
      <c r="AL34" s="109"/>
    </row>
    <row r="35" spans="23:38" ht="40.5" customHeight="1" x14ac:dyDescent="0.2"/>
    <row r="36" spans="23:38" ht="40.5" customHeight="1" x14ac:dyDescent="0.2"/>
    <row r="37" spans="23:38" ht="40.5" customHeight="1" x14ac:dyDescent="0.2"/>
    <row r="38" spans="23:38" ht="40.5" customHeight="1" x14ac:dyDescent="0.2"/>
    <row r="39" spans="23:38" ht="40.5" customHeight="1" x14ac:dyDescent="0.2"/>
    <row r="40" spans="23:38" ht="40.5" customHeight="1" x14ac:dyDescent="0.2"/>
    <row r="41" spans="23:38" ht="40.5" customHeight="1" x14ac:dyDescent="0.2">
      <c r="W41" s="101">
        <f>Airgauge!E9</f>
        <v>59.930999999999997</v>
      </c>
      <c r="X41" s="102"/>
      <c r="Y41" s="102"/>
      <c r="Z41" s="103"/>
      <c r="AC41" s="101">
        <f>Airgauge!E10</f>
        <v>140.983</v>
      </c>
      <c r="AD41" s="102"/>
      <c r="AE41" s="102"/>
      <c r="AF41" s="103"/>
      <c r="AI41" s="101">
        <f>Airgauge!E11</f>
        <v>43.802</v>
      </c>
      <c r="AJ41" s="102"/>
      <c r="AK41" s="102"/>
      <c r="AL41" s="103"/>
    </row>
    <row r="42" spans="23:38" ht="40.5" customHeight="1" x14ac:dyDescent="0.2">
      <c r="W42" s="104"/>
      <c r="X42" s="105"/>
      <c r="Y42" s="105"/>
      <c r="Z42" s="106"/>
      <c r="AC42" s="104"/>
      <c r="AD42" s="105"/>
      <c r="AE42" s="105"/>
      <c r="AF42" s="106"/>
      <c r="AI42" s="104"/>
      <c r="AJ42" s="105"/>
      <c r="AK42" s="105"/>
      <c r="AL42" s="106"/>
    </row>
    <row r="43" spans="23:38" ht="40.5" customHeight="1" x14ac:dyDescent="0.2">
      <c r="W43" s="104"/>
      <c r="X43" s="105"/>
      <c r="Y43" s="105"/>
      <c r="Z43" s="106"/>
      <c r="AC43" s="104"/>
      <c r="AD43" s="105"/>
      <c r="AE43" s="105"/>
      <c r="AF43" s="106"/>
      <c r="AI43" s="104"/>
      <c r="AJ43" s="105"/>
      <c r="AK43" s="105"/>
      <c r="AL43" s="106"/>
    </row>
    <row r="44" spans="23:38" ht="40.5" customHeight="1" x14ac:dyDescent="0.2">
      <c r="W44" s="107"/>
      <c r="X44" s="108"/>
      <c r="Y44" s="108"/>
      <c r="Z44" s="109"/>
      <c r="AC44" s="107"/>
      <c r="AD44" s="108"/>
      <c r="AE44" s="108"/>
      <c r="AF44" s="109"/>
      <c r="AI44" s="107"/>
      <c r="AJ44" s="108"/>
      <c r="AK44" s="108"/>
      <c r="AL44" s="109"/>
    </row>
    <row r="45" spans="23:38" ht="40.5" customHeight="1" x14ac:dyDescent="0.2"/>
    <row r="46" spans="23:38" ht="40.5" customHeight="1" x14ac:dyDescent="0.2"/>
    <row r="47" spans="23:38" ht="40.5" customHeight="1" x14ac:dyDescent="0.2">
      <c r="W47" s="52"/>
      <c r="X47" s="52"/>
      <c r="Y47" s="52"/>
      <c r="Z47" s="52"/>
      <c r="AC47" s="52"/>
      <c r="AD47" s="52"/>
      <c r="AE47" s="52"/>
      <c r="AF47" s="52"/>
      <c r="AI47" s="52"/>
      <c r="AJ47" s="52"/>
      <c r="AK47" s="52"/>
      <c r="AL47" s="52"/>
    </row>
    <row r="48" spans="23:38" ht="40.5" customHeight="1" x14ac:dyDescent="0.2">
      <c r="W48" s="52"/>
      <c r="X48" s="52"/>
      <c r="Y48" s="52"/>
      <c r="Z48" s="52"/>
      <c r="AC48" s="52"/>
      <c r="AD48" s="52"/>
      <c r="AE48" s="52"/>
      <c r="AF48" s="52"/>
      <c r="AI48" s="52"/>
      <c r="AJ48" s="52"/>
      <c r="AK48" s="52"/>
      <c r="AL48" s="52"/>
    </row>
    <row r="49" spans="14:38" ht="40.5" customHeight="1" x14ac:dyDescent="0.2">
      <c r="W49" s="52"/>
      <c r="X49" s="52"/>
      <c r="Y49" s="52"/>
      <c r="Z49" s="52"/>
      <c r="AC49" s="52"/>
      <c r="AD49" s="52"/>
      <c r="AE49" s="52"/>
      <c r="AF49" s="52"/>
      <c r="AI49" s="52"/>
      <c r="AJ49" s="52"/>
      <c r="AK49" s="52"/>
      <c r="AL49" s="52"/>
    </row>
    <row r="50" spans="14:38" ht="40.5" customHeight="1" x14ac:dyDescent="0.2"/>
    <row r="51" spans="14:38" ht="40.5" customHeight="1" x14ac:dyDescent="0.2"/>
    <row r="52" spans="14:38" ht="40.5" customHeight="1" x14ac:dyDescent="0.2">
      <c r="W52" s="54"/>
      <c r="X52" s="54"/>
      <c r="Y52" s="54"/>
      <c r="Z52" s="54"/>
      <c r="AC52" s="54"/>
      <c r="AD52" s="54"/>
      <c r="AE52" s="54"/>
      <c r="AF52" s="54"/>
      <c r="AH52" s="54"/>
      <c r="AI52" s="54"/>
      <c r="AJ52" s="54"/>
      <c r="AK52" s="54"/>
      <c r="AL52" s="54"/>
    </row>
    <row r="53" spans="14:38" ht="40.5" customHeight="1" x14ac:dyDescent="0.2">
      <c r="W53" s="54"/>
      <c r="X53" s="54"/>
      <c r="Y53" s="54"/>
      <c r="Z53" s="54"/>
      <c r="AC53" s="54"/>
      <c r="AD53" s="54"/>
      <c r="AE53" s="54"/>
      <c r="AF53" s="54"/>
      <c r="AH53" s="54"/>
      <c r="AI53" s="54"/>
      <c r="AJ53" s="54"/>
      <c r="AK53" s="54"/>
      <c r="AL53" s="54"/>
    </row>
    <row r="54" spans="14:38" ht="40.5" customHeight="1" x14ac:dyDescent="0.2">
      <c r="W54" s="54"/>
      <c r="X54" s="54"/>
      <c r="Y54" s="54"/>
      <c r="Z54" s="54"/>
      <c r="AC54" s="54"/>
      <c r="AD54" s="54"/>
      <c r="AE54" s="54"/>
      <c r="AF54" s="54"/>
      <c r="AH54" s="54"/>
      <c r="AI54" s="54"/>
      <c r="AJ54" s="54"/>
      <c r="AK54" s="54"/>
      <c r="AL54" s="54"/>
    </row>
    <row r="55" spans="14:38" ht="40.5" customHeight="1" x14ac:dyDescent="0.2"/>
    <row r="56" spans="14:38" ht="40.5" customHeight="1" x14ac:dyDescent="0.2"/>
    <row r="57" spans="14:38" ht="40.5" customHeight="1" x14ac:dyDescent="0.2"/>
    <row r="58" spans="14:38" ht="40.5" customHeight="1" x14ac:dyDescent="0.2"/>
    <row r="59" spans="14:38" ht="40.5" customHeight="1" x14ac:dyDescent="0.2"/>
    <row r="60" spans="14:38" ht="40.5" customHeight="1" x14ac:dyDescent="0.2"/>
    <row r="61" spans="14:38" ht="40.5" customHeight="1" x14ac:dyDescent="0.2"/>
    <row r="62" spans="14:38" ht="40.5" customHeight="1" x14ac:dyDescent="0.2"/>
    <row r="63" spans="14:38" ht="40.5" customHeight="1" x14ac:dyDescent="0.2">
      <c r="N63" s="82"/>
    </row>
    <row r="64" spans="14:38" ht="40.5" customHeight="1" x14ac:dyDescent="0.2">
      <c r="N64" s="82"/>
    </row>
    <row r="65" spans="14:35" ht="40.5" customHeight="1" x14ac:dyDescent="0.2">
      <c r="N65" s="82"/>
    </row>
    <row r="66" spans="14:35" x14ac:dyDescent="0.2">
      <c r="N66" s="82"/>
    </row>
    <row r="67" spans="14:35" x14ac:dyDescent="0.2">
      <c r="N67" s="82"/>
    </row>
    <row r="68" spans="14:35" x14ac:dyDescent="0.2">
      <c r="N68" s="82"/>
    </row>
    <row r="69" spans="14:35" x14ac:dyDescent="0.2">
      <c r="N69" s="82"/>
    </row>
    <row r="70" spans="14:35" x14ac:dyDescent="0.2">
      <c r="N70" s="82"/>
    </row>
    <row r="71" spans="14:35" x14ac:dyDescent="0.2">
      <c r="N71" s="82"/>
    </row>
    <row r="72" spans="14:35" x14ac:dyDescent="0.2">
      <c r="N72" s="82"/>
    </row>
    <row r="73" spans="14:35" x14ac:dyDescent="0.2">
      <c r="N73" s="82"/>
    </row>
    <row r="74" spans="14:35" ht="14.25" customHeight="1" x14ac:dyDescent="0.2">
      <c r="N74" s="82"/>
    </row>
    <row r="75" spans="14:35" ht="14.25" customHeight="1" x14ac:dyDescent="0.2">
      <c r="N75" s="82"/>
      <c r="X75" s="54"/>
      <c r="Y75" s="54"/>
      <c r="AC75" s="54"/>
      <c r="AD75" s="54"/>
      <c r="AH75" s="54"/>
      <c r="AI75" s="54"/>
    </row>
    <row r="76" spans="14:35" ht="14.25" customHeight="1" x14ac:dyDescent="0.2">
      <c r="N76" s="82"/>
      <c r="X76" s="54"/>
      <c r="Y76" s="54"/>
      <c r="AC76" s="54"/>
      <c r="AD76" s="54"/>
      <c r="AH76" s="54"/>
      <c r="AI76" s="54"/>
    </row>
    <row r="77" spans="14:35" ht="14.25" customHeight="1" x14ac:dyDescent="0.2">
      <c r="N77" s="82"/>
      <c r="X77" s="54"/>
      <c r="Y77" s="54"/>
      <c r="AC77" s="54"/>
      <c r="AD77" s="54"/>
      <c r="AH77" s="54"/>
      <c r="AI77" s="54"/>
    </row>
    <row r="78" spans="14:35" x14ac:dyDescent="0.2">
      <c r="N78" s="82"/>
    </row>
    <row r="79" spans="14:35" x14ac:dyDescent="0.2">
      <c r="N79" s="82"/>
    </row>
    <row r="80" spans="14:35" x14ac:dyDescent="0.2">
      <c r="N80" s="82"/>
    </row>
  </sheetData>
  <sheetProtection algorithmName="SHA-512" hashValue="K0A9BVo4JACGMJpu4tfrPnDj0yMuoIQCImpIPh65AcQxJH/QxeBBAr3A8naV7azVOfH0FI2Ult9bQLfUzNRyhg==" saltValue="fFlZdXmtBMb2mnCzy/J3KQ==" spinCount="100000" sheet="1" objects="1" scenarios="1" selectLockedCells="1"/>
  <mergeCells count="28">
    <mergeCell ref="W4:AM4"/>
    <mergeCell ref="Y13:AB13"/>
    <mergeCell ref="AX7:AX11"/>
    <mergeCell ref="AX12:AX16"/>
    <mergeCell ref="W31:Z34"/>
    <mergeCell ref="AC31:AF34"/>
    <mergeCell ref="AI31:AL34"/>
    <mergeCell ref="W41:Z44"/>
    <mergeCell ref="AC41:AF44"/>
    <mergeCell ref="AI41:AL44"/>
    <mergeCell ref="Q25:S25"/>
    <mergeCell ref="P5:S6"/>
    <mergeCell ref="J29:N30"/>
    <mergeCell ref="N78:N80"/>
    <mergeCell ref="B4:S4"/>
    <mergeCell ref="B5:O5"/>
    <mergeCell ref="B6:O6"/>
    <mergeCell ref="B18:S18"/>
    <mergeCell ref="N63:N65"/>
    <mergeCell ref="N66:N68"/>
    <mergeCell ref="N69:N71"/>
    <mergeCell ref="N72:N74"/>
    <mergeCell ref="N75:N77"/>
    <mergeCell ref="B29:F30"/>
    <mergeCell ref="R31:R32"/>
    <mergeCell ref="L31:Q32"/>
    <mergeCell ref="H31:H32"/>
    <mergeCell ref="B31:G32"/>
  </mergeCells>
  <phoneticPr fontId="2" type="noConversion"/>
  <conditionalFormatting sqref="P5">
    <cfRule type="expression" dxfId="30" priority="50">
      <formula>B5=""</formula>
    </cfRule>
    <cfRule type="cellIs" dxfId="29" priority="51" operator="equal">
      <formula>"NG"</formula>
    </cfRule>
    <cfRule type="cellIs" dxfId="28" priority="52" operator="equal">
      <formula>"OK"</formula>
    </cfRule>
  </conditionalFormatting>
  <conditionalFormatting sqref="R31:R32">
    <cfRule type="cellIs" dxfId="27" priority="15" operator="equal">
      <formula>"NG"</formula>
    </cfRule>
    <cfRule type="cellIs" dxfId="26" priority="16" operator="equal">
      <formula>"OK"</formula>
    </cfRule>
  </conditionalFormatting>
  <conditionalFormatting sqref="H31:H32">
    <cfRule type="cellIs" dxfId="25" priority="13" operator="equal">
      <formula>"NG"</formula>
    </cfRule>
    <cfRule type="cellIs" dxfId="24" priority="14" operator="equal">
      <formula>"OK"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8" id="{27640B99-620E-4155-AD5C-B18DC4DAB9FE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$I$6</xm:f>
              </x14:cfvo>
              <x14:cfvo type="num" gte="0">
                <xm:f>$H$6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N63</xm:sqref>
        </x14:conditionalFormatting>
        <x14:conditionalFormatting xmlns:xm="http://schemas.microsoft.com/office/excel/2006/main">
          <x14:cfRule type="iconSet" priority="27" id="{1256EC0A-7AA5-43C4-8B31-F4B0121E1938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$I$7</xm:f>
              </x14:cfvo>
              <x14:cfvo type="num" gte="0">
                <xm:f>$H$7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N66</xm:sqref>
        </x14:conditionalFormatting>
        <x14:conditionalFormatting xmlns:xm="http://schemas.microsoft.com/office/excel/2006/main">
          <x14:cfRule type="iconSet" priority="26" id="{2D609C66-9164-4553-9382-8679BD7E779E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$I$8</xm:f>
              </x14:cfvo>
              <x14:cfvo type="num" gte="0">
                <xm:f>$H$8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N69</xm:sqref>
        </x14:conditionalFormatting>
        <x14:conditionalFormatting xmlns:xm="http://schemas.microsoft.com/office/excel/2006/main">
          <x14:cfRule type="iconSet" priority="25" id="{1E01DE6B-7F6E-454C-905B-2E7BB04E7580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$I$9</xm:f>
              </x14:cfvo>
              <x14:cfvo type="num" gte="0">
                <xm:f>$H$9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N72</xm:sqref>
        </x14:conditionalFormatting>
        <x14:conditionalFormatting xmlns:xm="http://schemas.microsoft.com/office/excel/2006/main">
          <x14:cfRule type="iconSet" priority="24" id="{8B9E1E22-98FC-42E2-9C97-D757C566FE49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$I$10</xm:f>
              </x14:cfvo>
              <x14:cfvo type="num" gte="0">
                <xm:f>$H$10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N75</xm:sqref>
        </x14:conditionalFormatting>
        <x14:conditionalFormatting xmlns:xm="http://schemas.microsoft.com/office/excel/2006/main">
          <x14:cfRule type="iconSet" priority="23" id="{3385294B-953E-4B88-9EF1-C508936E2ED4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$I$11</xm:f>
              </x14:cfvo>
              <x14:cfvo type="num" gte="0">
                <xm:f>$H$11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N78</xm:sqref>
        </x14:conditionalFormatting>
        <x14:conditionalFormatting xmlns:xm="http://schemas.microsoft.com/office/excel/2006/main">
          <x14:cfRule type="iconSet" priority="22" id="{A3ADDB07-B953-4E78-BB50-D29FBD7656E0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4.5</xm:f>
              </x14:cfvo>
              <x14:cfvo type="num" gte="0">
                <xm:f>4.82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AX7</xm:sqref>
        </x14:conditionalFormatting>
        <x14:conditionalFormatting xmlns:xm="http://schemas.microsoft.com/office/excel/2006/main">
          <x14:cfRule type="iconSet" priority="21" id="{806E6EB0-D6C6-4709-A654-C9F4F412EB9C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5.5</xm:f>
              </x14:cfvo>
              <x14:cfvo type="num" gte="0">
                <xm:f>5.58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AX12</xm:sqref>
        </x14:conditionalFormatting>
        <x14:conditionalFormatting xmlns:xm="http://schemas.microsoft.com/office/excel/2006/main">
          <x14:cfRule type="cellIs" priority="10" operator="between" id="{9EE4D145-8418-400C-8E62-61A004823E13}">
            <xm:f>Airgauge!$H$7</xm:f>
            <xm:f>Airgauge!$I$7</xm:f>
            <x14:dxf>
              <fill>
                <patternFill>
                  <bgColor rgb="FF92D050"/>
                </patternFill>
              </fill>
            </x14:dxf>
          </x14:cfRule>
          <x14:cfRule type="cellIs" priority="9" operator="notBetween" id="{4A58D9B7-32EB-4226-B959-D5EE78D26241}">
            <xm:f>Airgauge!$H$7</xm:f>
            <xm:f>Airgauge!$I$7</xm:f>
            <x14:dxf>
              <fill>
                <patternFill>
                  <bgColor rgb="FFFF0000"/>
                </patternFill>
              </fill>
            </x14:dxf>
          </x14:cfRule>
          <xm:sqref>AC31:AF34</xm:sqref>
        </x14:conditionalFormatting>
        <x14:conditionalFormatting xmlns:xm="http://schemas.microsoft.com/office/excel/2006/main">
          <x14:cfRule type="cellIs" priority="5" operator="notBetween" id="{623AE282-435B-4487-9E05-1CB907FDFA9F}">
            <xm:f>Airgauge!$H$9</xm:f>
            <xm:f>Airgauge!$I$9</xm:f>
            <x14:dxf>
              <fill>
                <patternFill>
                  <bgColor rgb="FFFF0000"/>
                </patternFill>
              </fill>
            </x14:dxf>
          </x14:cfRule>
          <x14:cfRule type="cellIs" priority="6" operator="between" id="{80748E5F-3559-4D5F-A6D0-134382252A23}">
            <xm:f>Airgauge!$H$9</xm:f>
            <xm:f>Airgauge!$I$9</xm:f>
            <x14:dxf>
              <fill>
                <patternFill>
                  <bgColor rgb="FF92D050"/>
                </patternFill>
              </fill>
            </x14:dxf>
          </x14:cfRule>
          <xm:sqref>W41:Z44</xm:sqref>
        </x14:conditionalFormatting>
        <x14:conditionalFormatting xmlns:xm="http://schemas.microsoft.com/office/excel/2006/main">
          <x14:cfRule type="cellIs" priority="3" operator="notBetween" id="{B66744C0-2624-4E16-B1AD-9D6DE5A1FA60}">
            <xm:f>Airgauge!$H$10</xm:f>
            <xm:f>Airgauge!$I$10</xm:f>
            <x14:dxf>
              <fill>
                <patternFill>
                  <bgColor rgb="FFFF0000"/>
                </patternFill>
              </fill>
            </x14:dxf>
          </x14:cfRule>
          <x14:cfRule type="cellIs" priority="4" operator="between" id="{DF0D6CFD-6B41-418F-841D-6098444A5998}">
            <xm:f>Airgauge!$H$10</xm:f>
            <xm:f>Airgauge!$I$10</xm:f>
            <x14:dxf>
              <fill>
                <patternFill>
                  <bgColor rgb="FF92D050"/>
                </patternFill>
              </fill>
            </x14:dxf>
          </x14:cfRule>
          <xm:sqref>AC41:AF44</xm:sqref>
        </x14:conditionalFormatting>
        <x14:conditionalFormatting xmlns:xm="http://schemas.microsoft.com/office/excel/2006/main">
          <x14:cfRule type="cellIs" priority="8" operator="between" id="{BD005EDE-2FC4-4FA2-A356-1DD395792CC8}">
            <xm:f>Airgauge!$H$8</xm:f>
            <xm:f>Airgauge!$I$8</xm:f>
            <x14:dxf>
              <fill>
                <patternFill>
                  <bgColor rgb="FF92D050"/>
                </patternFill>
              </fill>
            </x14:dxf>
          </x14:cfRule>
          <x14:cfRule type="cellIs" priority="7" operator="notBetween" id="{34C46B9F-5476-4B05-AFDD-8350B565C9A4}">
            <xm:f>Airgauge!$H$8</xm:f>
            <xm:f>Airgauge!$I$8</xm:f>
            <x14:dxf>
              <fill>
                <patternFill>
                  <bgColor rgb="FFFF0000"/>
                </patternFill>
              </fill>
            </x14:dxf>
          </x14:cfRule>
          <xm:sqref>AI31</xm:sqref>
        </x14:conditionalFormatting>
        <x14:conditionalFormatting xmlns:xm="http://schemas.microsoft.com/office/excel/2006/main">
          <x14:cfRule type="cellIs" priority="11" operator="notBetween" id="{89D073F6-B89D-42B0-8EBB-BB442D40A60E}">
            <xm:f>Airgauge!$H$6</xm:f>
            <xm:f>Airgauge!$I$6</xm:f>
            <x14:dxf>
              <fill>
                <patternFill>
                  <bgColor rgb="FFFF0000"/>
                </patternFill>
              </fill>
            </x14:dxf>
          </x14:cfRule>
          <x14:cfRule type="cellIs" priority="12" operator="between" id="{CF906B2D-ED62-48D0-925E-B2A1517222E7}">
            <xm:f>Airgauge!$H$6</xm:f>
            <xm:f>Airgauge!$I$6</xm:f>
            <x14:dxf>
              <fill>
                <patternFill>
                  <bgColor rgb="FF92D050"/>
                </patternFill>
              </fill>
            </x14:dxf>
          </x14:cfRule>
          <xm:sqref>W31</xm:sqref>
        </x14:conditionalFormatting>
        <x14:conditionalFormatting xmlns:xm="http://schemas.microsoft.com/office/excel/2006/main">
          <x14:cfRule type="cellIs" priority="2" operator="notBetween" id="{253BACF0-5B83-4A4B-A57C-37F8BB40BCDD}">
            <xm:f>Airgauge!$H$11</xm:f>
            <xm:f>Airgauge!$I$11</xm:f>
            <x14:dxf>
              <fill>
                <patternFill>
                  <bgColor rgb="FFFF0000"/>
                </patternFill>
              </fill>
            </x14:dxf>
          </x14:cfRule>
          <x14:cfRule type="cellIs" priority="1" operator="between" id="{3B8C257D-15DB-4D51-91B9-4B6B9170490F}">
            <xm:f>Airgauge!$H$11</xm:f>
            <xm:f>Airgauge!$I$11</xm:f>
            <x14:dxf>
              <fill>
                <patternFill>
                  <bgColor rgb="FF92D050"/>
                </patternFill>
              </fill>
            </x14:dxf>
          </x14:cfRule>
          <xm:sqref>AI41:AL44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68"/>
  <sheetViews>
    <sheetView showGridLines="0" zoomScale="70" zoomScaleNormal="70" workbookViewId="0">
      <selection activeCell="F38" sqref="F38"/>
    </sheetView>
  </sheetViews>
  <sheetFormatPr defaultRowHeight="14.25" x14ac:dyDescent="0.2"/>
  <cols>
    <col min="1" max="1" width="6.625" style="1" customWidth="1"/>
    <col min="2" max="2" width="8.875" style="2" customWidth="1"/>
    <col min="3" max="3" width="10.25" style="1" customWidth="1"/>
    <col min="4" max="4" width="10" style="1" customWidth="1"/>
    <col min="5" max="5" width="10.125" style="1" customWidth="1"/>
    <col min="6" max="6" width="15.625" style="1" customWidth="1"/>
    <col min="7" max="7" width="13.125" style="1" customWidth="1"/>
  </cols>
  <sheetData>
    <row r="1" spans="1:13" s="14" customFormat="1" ht="75" customHeight="1" x14ac:dyDescent="1.35">
      <c r="A1" s="10"/>
      <c r="B1" s="11"/>
      <c r="C1" s="11"/>
      <c r="D1" s="11"/>
      <c r="E1" s="11"/>
      <c r="F1" s="11"/>
      <c r="G1" s="12"/>
      <c r="H1" s="11"/>
      <c r="I1" s="13"/>
      <c r="J1" s="13"/>
      <c r="K1" s="13"/>
      <c r="L1" s="13"/>
      <c r="M1" s="13"/>
    </row>
    <row r="2" spans="1:13" s="8" customFormat="1" ht="29.25" customHeight="1" x14ac:dyDescent="0.3">
      <c r="A2" s="15"/>
      <c r="B2" s="16"/>
      <c r="C2" s="16"/>
      <c r="D2" s="16"/>
      <c r="E2" s="17"/>
      <c r="F2" s="17"/>
      <c r="G2" s="16"/>
      <c r="H2" s="18"/>
      <c r="I2" s="7"/>
      <c r="J2" s="7"/>
      <c r="K2" s="7"/>
      <c r="L2" s="7"/>
      <c r="M2" s="7"/>
    </row>
    <row r="4" spans="1:13" s="6" customFormat="1" ht="33.75" customHeight="1" x14ac:dyDescent="0.25">
      <c r="A4" s="121" t="s">
        <v>12</v>
      </c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9"/>
    </row>
    <row r="5" spans="1:13" ht="25.5" customHeight="1" x14ac:dyDescent="0.2">
      <c r="A5" s="4" t="s">
        <v>10</v>
      </c>
      <c r="B5" s="5" t="s">
        <v>0</v>
      </c>
      <c r="C5" s="4" t="s">
        <v>1</v>
      </c>
      <c r="D5" s="4" t="s">
        <v>2</v>
      </c>
      <c r="E5" s="4" t="s">
        <v>3</v>
      </c>
      <c r="F5" s="4" t="s">
        <v>8</v>
      </c>
      <c r="G5" s="4" t="s">
        <v>13</v>
      </c>
      <c r="H5" s="4" t="s">
        <v>6</v>
      </c>
      <c r="I5" s="4" t="s">
        <v>7</v>
      </c>
      <c r="J5" s="23" t="s">
        <v>14</v>
      </c>
    </row>
    <row r="6" spans="1:13" ht="20.100000000000001" customHeight="1" x14ac:dyDescent="0.2">
      <c r="A6" s="1">
        <v>1</v>
      </c>
      <c r="B6" s="2">
        <v>50</v>
      </c>
      <c r="C6" s="2">
        <v>5.6000000000000001E-2</v>
      </c>
      <c r="D6" s="2">
        <v>3.1E-2</v>
      </c>
      <c r="E6" s="31">
        <v>50.009</v>
      </c>
      <c r="F6" s="1">
        <v>50.009</v>
      </c>
      <c r="G6" s="1" t="s">
        <v>42</v>
      </c>
      <c r="H6" s="3">
        <f t="shared" ref="H6:I11" si="0">$B6+C6</f>
        <v>50.055999999999997</v>
      </c>
      <c r="I6" s="3">
        <f t="shared" si="0"/>
        <v>50.030999999999999</v>
      </c>
      <c r="J6" s="1"/>
    </row>
    <row r="7" spans="1:13" ht="20.100000000000001" customHeight="1" x14ac:dyDescent="0.2">
      <c r="A7" s="1">
        <v>2</v>
      </c>
      <c r="B7" s="2">
        <v>49.6</v>
      </c>
      <c r="C7" s="2">
        <v>2.5000000000000001E-2</v>
      </c>
      <c r="D7" s="2">
        <v>0</v>
      </c>
      <c r="E7" s="31">
        <v>49.613</v>
      </c>
      <c r="F7" s="1">
        <v>49.613</v>
      </c>
      <c r="G7" s="1" t="s">
        <v>50</v>
      </c>
      <c r="H7" s="3">
        <f t="shared" si="0"/>
        <v>49.625</v>
      </c>
      <c r="I7" s="3">
        <f t="shared" si="0"/>
        <v>49.6</v>
      </c>
      <c r="J7" s="1"/>
    </row>
    <row r="8" spans="1:13" ht="20.100000000000001" customHeight="1" x14ac:dyDescent="0.2">
      <c r="A8" s="1">
        <v>3</v>
      </c>
      <c r="B8" s="2">
        <v>50</v>
      </c>
      <c r="C8" s="2">
        <v>5.6000000000000001E-2</v>
      </c>
      <c r="D8" s="2">
        <v>3.1E-2</v>
      </c>
      <c r="E8" s="31">
        <v>50.043999999999997</v>
      </c>
      <c r="F8" s="1">
        <v>50.043999999999997</v>
      </c>
      <c r="G8" s="1" t="s">
        <v>50</v>
      </c>
      <c r="H8" s="3">
        <f t="shared" si="0"/>
        <v>50.055999999999997</v>
      </c>
      <c r="I8" s="3">
        <f t="shared" si="0"/>
        <v>50.030999999999999</v>
      </c>
      <c r="J8" s="1"/>
    </row>
    <row r="9" spans="1:13" ht="20.100000000000001" customHeight="1" x14ac:dyDescent="0.2">
      <c r="A9" s="1">
        <v>4</v>
      </c>
      <c r="B9" s="2">
        <v>60</v>
      </c>
      <c r="C9" s="2">
        <v>-0.06</v>
      </c>
      <c r="D9" s="2">
        <v>-0.09</v>
      </c>
      <c r="E9" s="31">
        <v>59.930999999999997</v>
      </c>
      <c r="F9" s="1">
        <v>59.930999999999997</v>
      </c>
      <c r="G9" s="1" t="s">
        <v>50</v>
      </c>
      <c r="H9" s="3">
        <f t="shared" si="0"/>
        <v>59.94</v>
      </c>
      <c r="I9" s="3">
        <f t="shared" si="0"/>
        <v>59.91</v>
      </c>
      <c r="J9" s="1"/>
    </row>
    <row r="10" spans="1:13" ht="20.100000000000001" customHeight="1" x14ac:dyDescent="0.2">
      <c r="A10" s="1">
        <v>5</v>
      </c>
      <c r="B10" s="2">
        <v>141</v>
      </c>
      <c r="C10" s="2">
        <v>0</v>
      </c>
      <c r="D10" s="2">
        <v>-0.04</v>
      </c>
      <c r="E10" s="31">
        <v>140.983</v>
      </c>
      <c r="F10" s="1">
        <v>140.983</v>
      </c>
      <c r="G10" s="1" t="s">
        <v>50</v>
      </c>
      <c r="H10" s="3">
        <f t="shared" si="0"/>
        <v>141</v>
      </c>
      <c r="I10" s="3">
        <f t="shared" si="0"/>
        <v>140.96</v>
      </c>
      <c r="J10" s="1"/>
    </row>
    <row r="11" spans="1:13" ht="20.100000000000001" customHeight="1" x14ac:dyDescent="0.2">
      <c r="A11" s="1">
        <v>6</v>
      </c>
      <c r="B11" s="2">
        <v>43.8</v>
      </c>
      <c r="C11" s="2">
        <v>2.5000000000000001E-2</v>
      </c>
      <c r="D11" s="2">
        <v>0</v>
      </c>
      <c r="E11" s="31">
        <v>43.802</v>
      </c>
      <c r="F11" s="1">
        <v>43.802</v>
      </c>
      <c r="G11" s="1" t="s">
        <v>50</v>
      </c>
      <c r="H11" s="3">
        <f t="shared" si="0"/>
        <v>43.824999999999996</v>
      </c>
      <c r="I11" s="3">
        <f t="shared" si="0"/>
        <v>43.8</v>
      </c>
      <c r="J11" s="1">
        <v>43.835000000000001</v>
      </c>
    </row>
    <row r="13" spans="1:13" ht="15" customHeight="1" x14ac:dyDescent="0.2">
      <c r="B13" s="29"/>
      <c r="C13" s="29"/>
      <c r="D13" s="29"/>
      <c r="E13" s="29"/>
      <c r="F13" s="28"/>
      <c r="G13" s="30"/>
    </row>
    <row r="14" spans="1:13" ht="15" customHeight="1" x14ac:dyDescent="0.2">
      <c r="B14" s="29"/>
      <c r="C14" s="29"/>
      <c r="D14" s="29"/>
      <c r="E14" s="29"/>
      <c r="F14" s="28"/>
      <c r="G14" s="30"/>
    </row>
    <row r="15" spans="1:13" ht="15" customHeight="1" x14ac:dyDescent="0.2">
      <c r="B15" s="29"/>
      <c r="C15" s="29"/>
      <c r="D15" s="29"/>
      <c r="E15" s="29"/>
    </row>
    <row r="16" spans="1:13" ht="26.25" customHeight="1" x14ac:dyDescent="0.2">
      <c r="B16" s="29"/>
      <c r="C16" s="29"/>
    </row>
    <row r="17" spans="2:3" ht="15" customHeight="1" x14ac:dyDescent="0.2">
      <c r="B17" s="29"/>
      <c r="C17" s="29"/>
    </row>
    <row r="51" spans="2:4" ht="14.25" customHeight="1" x14ac:dyDescent="0.2">
      <c r="B51" s="120">
        <f>E6</f>
        <v>50.009</v>
      </c>
      <c r="C51" s="32"/>
      <c r="D51" s="33"/>
    </row>
    <row r="52" spans="2:4" ht="14.25" customHeight="1" x14ac:dyDescent="0.2">
      <c r="B52" s="120"/>
      <c r="C52" s="33"/>
      <c r="D52" s="33"/>
    </row>
    <row r="53" spans="2:4" ht="14.25" customHeight="1" x14ac:dyDescent="0.2">
      <c r="B53" s="120"/>
      <c r="C53" s="33"/>
      <c r="D53" s="33"/>
    </row>
    <row r="54" spans="2:4" ht="14.25" customHeight="1" x14ac:dyDescent="0.2">
      <c r="B54" s="120">
        <f>E7</f>
        <v>49.613</v>
      </c>
      <c r="C54" s="33"/>
      <c r="D54" s="33"/>
    </row>
    <row r="55" spans="2:4" ht="14.25" customHeight="1" x14ac:dyDescent="0.2">
      <c r="B55" s="120"/>
      <c r="C55" s="33"/>
      <c r="D55" s="33"/>
    </row>
    <row r="56" spans="2:4" ht="14.25" customHeight="1" x14ac:dyDescent="0.2">
      <c r="B56" s="120"/>
      <c r="C56" s="33"/>
      <c r="D56" s="33"/>
    </row>
    <row r="57" spans="2:4" x14ac:dyDescent="0.2">
      <c r="B57" s="120">
        <f>E8</f>
        <v>50.043999999999997</v>
      </c>
    </row>
    <row r="58" spans="2:4" x14ac:dyDescent="0.2">
      <c r="B58" s="120"/>
    </row>
    <row r="59" spans="2:4" x14ac:dyDescent="0.2">
      <c r="B59" s="120"/>
    </row>
    <row r="60" spans="2:4" x14ac:dyDescent="0.2">
      <c r="B60" s="120">
        <f>E9</f>
        <v>59.930999999999997</v>
      </c>
    </row>
    <row r="61" spans="2:4" x14ac:dyDescent="0.2">
      <c r="B61" s="120"/>
    </row>
    <row r="62" spans="2:4" x14ac:dyDescent="0.2">
      <c r="B62" s="120"/>
    </row>
    <row r="63" spans="2:4" x14ac:dyDescent="0.2">
      <c r="B63" s="120">
        <f>E10</f>
        <v>140.983</v>
      </c>
    </row>
    <row r="64" spans="2:4" x14ac:dyDescent="0.2">
      <c r="B64" s="120"/>
    </row>
    <row r="65" spans="2:2" x14ac:dyDescent="0.2">
      <c r="B65" s="120"/>
    </row>
    <row r="66" spans="2:2" x14ac:dyDescent="0.2">
      <c r="B66" s="120">
        <f>E11</f>
        <v>43.802</v>
      </c>
    </row>
    <row r="67" spans="2:2" x14ac:dyDescent="0.2">
      <c r="B67" s="120"/>
    </row>
    <row r="68" spans="2:2" x14ac:dyDescent="0.2">
      <c r="B68" s="120"/>
    </row>
  </sheetData>
  <mergeCells count="7">
    <mergeCell ref="B57:B59"/>
    <mergeCell ref="B60:B62"/>
    <mergeCell ref="B63:B65"/>
    <mergeCell ref="B66:B68"/>
    <mergeCell ref="A4:L4"/>
    <mergeCell ref="B51:B53"/>
    <mergeCell ref="B54:B56"/>
  </mergeCells>
  <conditionalFormatting sqref="E6:E11">
    <cfRule type="cellIs" dxfId="11" priority="20" operator="notBetween">
      <formula>$H6</formula>
      <formula>$I6</formula>
    </cfRule>
    <cfRule type="cellIs" dxfId="10" priority="21" operator="between">
      <formula>$H6</formula>
      <formula>$I6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9C675B07-7A90-468E-968F-C109883C01CC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$I$6</xm:f>
              </x14:cfvo>
              <x14:cfvo type="num" gte="0">
                <xm:f>$H$6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B51</xm:sqref>
        </x14:conditionalFormatting>
        <x14:conditionalFormatting xmlns:xm="http://schemas.microsoft.com/office/excel/2006/main">
          <x14:cfRule type="iconSet" priority="7" id="{0C8788D9-3CAF-4AFE-BBD5-57F9DB6889B9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$I$7</xm:f>
              </x14:cfvo>
              <x14:cfvo type="num" gte="0">
                <xm:f>$H$7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B54</xm:sqref>
        </x14:conditionalFormatting>
        <x14:conditionalFormatting xmlns:xm="http://schemas.microsoft.com/office/excel/2006/main">
          <x14:cfRule type="iconSet" priority="6" id="{B3498528-EEF9-4880-A56C-E7A99B5EB398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$I$8</xm:f>
              </x14:cfvo>
              <x14:cfvo type="num" gte="0">
                <xm:f>$H$8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B57</xm:sqref>
        </x14:conditionalFormatting>
        <x14:conditionalFormatting xmlns:xm="http://schemas.microsoft.com/office/excel/2006/main">
          <x14:cfRule type="iconSet" priority="5" id="{7AA3E33D-E3E7-49C8-8085-39AC6242D410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$I$9</xm:f>
              </x14:cfvo>
              <x14:cfvo type="num" gte="0">
                <xm:f>$H$9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B60</xm:sqref>
        </x14:conditionalFormatting>
        <x14:conditionalFormatting xmlns:xm="http://schemas.microsoft.com/office/excel/2006/main">
          <x14:cfRule type="iconSet" priority="4" id="{98AE9E5A-1CCA-43E7-99A0-C45FDF366CED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$I$10</xm:f>
              </x14:cfvo>
              <x14:cfvo type="num" gte="0">
                <xm:f>$H$10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B63</xm:sqref>
        </x14:conditionalFormatting>
        <x14:conditionalFormatting xmlns:xm="http://schemas.microsoft.com/office/excel/2006/main">
          <x14:cfRule type="iconSet" priority="3" id="{737B0CFD-9942-4963-93C2-B591D354DED5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$I$11</xm:f>
              </x14:cfvo>
              <x14:cfvo type="num" gte="0">
                <xm:f>$H$11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X50"/>
  <sheetViews>
    <sheetView zoomScale="80" zoomScaleNormal="80" workbookViewId="0">
      <selection activeCell="G18" sqref="G18"/>
    </sheetView>
  </sheetViews>
  <sheetFormatPr defaultColWidth="9" defaultRowHeight="14.25" x14ac:dyDescent="0.2"/>
  <cols>
    <col min="1" max="1" width="4.625" style="22" customWidth="1"/>
    <col min="2" max="2" width="17.125" style="25" customWidth="1"/>
    <col min="3" max="4" width="13.625" style="25" customWidth="1"/>
    <col min="5" max="5" width="9.125" style="26" customWidth="1"/>
    <col min="6" max="7" width="9.125" style="27" customWidth="1"/>
    <col min="8" max="8" width="10.25" style="27" bestFit="1" customWidth="1"/>
    <col min="9" max="10" width="9.125" style="27" customWidth="1"/>
    <col min="11" max="11" width="9.625" style="27" customWidth="1"/>
    <col min="12" max="12" width="10.25" style="27" bestFit="1" customWidth="1"/>
    <col min="13" max="14" width="9.125" style="22" customWidth="1"/>
    <col min="15" max="15" width="8.125" style="22" bestFit="1" customWidth="1"/>
    <col min="16" max="16" width="10" style="22" bestFit="1" customWidth="1"/>
    <col min="17" max="18" width="9.125" style="22" customWidth="1"/>
    <col min="19" max="19" width="9.375" style="22" bestFit="1" customWidth="1"/>
    <col min="20" max="20" width="10" style="22" bestFit="1" customWidth="1"/>
    <col min="21" max="16384" width="9" style="21"/>
  </cols>
  <sheetData>
    <row r="1" spans="1:24" s="22" customFormat="1" x14ac:dyDescent="0.2">
      <c r="A1" s="19" t="s">
        <v>4</v>
      </c>
      <c r="B1" s="19" t="s">
        <v>5</v>
      </c>
      <c r="C1" s="19" t="s">
        <v>19</v>
      </c>
      <c r="D1" s="19" t="s">
        <v>20</v>
      </c>
      <c r="E1" s="19" t="s">
        <v>25</v>
      </c>
      <c r="F1" s="19" t="s">
        <v>26</v>
      </c>
      <c r="G1" s="19" t="s">
        <v>27</v>
      </c>
      <c r="H1" s="19" t="s">
        <v>28</v>
      </c>
      <c r="I1" s="19" t="s">
        <v>29</v>
      </c>
      <c r="J1" s="19" t="s">
        <v>30</v>
      </c>
      <c r="K1" s="19" t="s">
        <v>31</v>
      </c>
      <c r="L1" s="19" t="s">
        <v>32</v>
      </c>
      <c r="M1" s="19" t="s">
        <v>33</v>
      </c>
      <c r="N1" s="19" t="s">
        <v>34</v>
      </c>
      <c r="O1" s="19" t="s">
        <v>35</v>
      </c>
      <c r="P1" s="19" t="s">
        <v>36</v>
      </c>
      <c r="Q1" s="19" t="s">
        <v>37</v>
      </c>
      <c r="R1" s="19" t="s">
        <v>38</v>
      </c>
      <c r="S1" s="19" t="s">
        <v>39</v>
      </c>
      <c r="T1" s="19" t="s">
        <v>40</v>
      </c>
      <c r="U1" s="19" t="s">
        <v>18</v>
      </c>
      <c r="V1" s="20"/>
      <c r="W1" s="20"/>
      <c r="X1" s="20"/>
    </row>
    <row r="2" spans="1:24" x14ac:dyDescent="0.2">
      <c r="A2" s="61"/>
      <c r="B2" s="62"/>
      <c r="C2" s="63"/>
      <c r="D2" s="63"/>
      <c r="E2" s="64"/>
      <c r="F2" s="65"/>
      <c r="G2" s="66"/>
      <c r="H2" s="66"/>
      <c r="I2" s="66"/>
      <c r="J2" s="66"/>
      <c r="K2" s="66"/>
      <c r="L2" s="65"/>
      <c r="M2" s="61"/>
      <c r="N2" s="61"/>
      <c r="O2" s="61"/>
      <c r="P2" s="61"/>
      <c r="Q2" s="61"/>
      <c r="R2" s="61"/>
      <c r="S2" s="61"/>
      <c r="T2" s="67"/>
    </row>
    <row r="3" spans="1:24" x14ac:dyDescent="0.2">
      <c r="A3" s="61"/>
      <c r="B3" s="62"/>
      <c r="C3" s="63"/>
      <c r="D3" s="63"/>
      <c r="E3" s="64"/>
      <c r="F3" s="65"/>
      <c r="G3" s="65"/>
      <c r="H3" s="65"/>
      <c r="I3" s="65"/>
      <c r="J3" s="65"/>
      <c r="K3" s="65"/>
      <c r="L3" s="65"/>
      <c r="M3" s="61"/>
      <c r="N3" s="61"/>
      <c r="O3" s="61"/>
      <c r="P3" s="61"/>
      <c r="Q3" s="61"/>
      <c r="R3" s="61"/>
      <c r="S3" s="61"/>
      <c r="T3" s="67"/>
    </row>
    <row r="4" spans="1:24" x14ac:dyDescent="0.2">
      <c r="A4" s="61"/>
      <c r="B4" s="62"/>
      <c r="C4" s="63"/>
      <c r="D4" s="63"/>
      <c r="E4" s="64"/>
      <c r="F4" s="65"/>
      <c r="G4" s="65"/>
      <c r="H4" s="65"/>
      <c r="I4" s="65"/>
      <c r="J4" s="65"/>
      <c r="K4" s="65"/>
      <c r="L4" s="65"/>
      <c r="M4" s="61"/>
      <c r="N4" s="61"/>
      <c r="O4" s="61"/>
      <c r="P4" s="61"/>
      <c r="Q4" s="61"/>
      <c r="R4" s="61"/>
      <c r="S4" s="61"/>
      <c r="T4" s="67"/>
    </row>
    <row r="5" spans="1:24" x14ac:dyDescent="0.2">
      <c r="A5" s="61"/>
      <c r="B5" s="62"/>
      <c r="C5" s="63"/>
      <c r="D5" s="63"/>
      <c r="E5" s="64"/>
      <c r="F5" s="65"/>
      <c r="G5" s="65"/>
      <c r="H5" s="65"/>
      <c r="I5" s="65"/>
      <c r="J5" s="65"/>
      <c r="K5" s="65"/>
      <c r="L5" s="65"/>
      <c r="M5" s="61"/>
      <c r="N5" s="61"/>
      <c r="O5" s="61"/>
      <c r="P5" s="61"/>
      <c r="Q5" s="61"/>
      <c r="R5" s="61"/>
      <c r="S5" s="61"/>
      <c r="T5" s="67"/>
    </row>
    <row r="6" spans="1:24" x14ac:dyDescent="0.2">
      <c r="A6" s="61"/>
      <c r="B6" s="62"/>
      <c r="C6" s="63"/>
      <c r="D6" s="63"/>
      <c r="E6" s="64"/>
      <c r="F6" s="65"/>
      <c r="G6" s="65"/>
      <c r="H6" s="65"/>
      <c r="I6" s="65"/>
      <c r="J6" s="65"/>
      <c r="K6" s="65"/>
      <c r="L6" s="65"/>
      <c r="M6" s="61"/>
      <c r="N6" s="61"/>
      <c r="O6" s="61"/>
      <c r="P6" s="61"/>
      <c r="Q6" s="61"/>
      <c r="R6" s="61"/>
      <c r="S6" s="61"/>
      <c r="T6" s="67"/>
    </row>
    <row r="7" spans="1:24" x14ac:dyDescent="0.2">
      <c r="A7" s="61"/>
      <c r="B7" s="62"/>
      <c r="C7" s="63"/>
      <c r="D7" s="63"/>
      <c r="E7" s="64"/>
      <c r="F7" s="65"/>
      <c r="G7" s="65"/>
      <c r="H7" s="65"/>
      <c r="I7" s="65"/>
      <c r="J7" s="65"/>
      <c r="K7" s="65"/>
      <c r="L7" s="65"/>
      <c r="M7" s="61"/>
      <c r="N7" s="61"/>
      <c r="O7" s="61"/>
      <c r="P7" s="61"/>
      <c r="Q7" s="61"/>
      <c r="R7" s="61"/>
      <c r="S7" s="61"/>
      <c r="T7" s="67"/>
    </row>
    <row r="8" spans="1:24" x14ac:dyDescent="0.2">
      <c r="A8" s="61"/>
      <c r="B8" s="62"/>
      <c r="C8" s="63"/>
      <c r="D8" s="63"/>
      <c r="E8" s="64"/>
      <c r="F8" s="65"/>
      <c r="G8" s="65"/>
      <c r="H8" s="65"/>
      <c r="I8" s="65"/>
      <c r="J8" s="65"/>
      <c r="K8" s="65"/>
      <c r="L8" s="65"/>
      <c r="M8" s="61"/>
      <c r="N8" s="61"/>
      <c r="O8" s="61"/>
      <c r="P8" s="61"/>
      <c r="Q8" s="61"/>
      <c r="R8" s="61"/>
      <c r="S8" s="61"/>
      <c r="T8" s="67"/>
    </row>
    <row r="9" spans="1:24" x14ac:dyDescent="0.2">
      <c r="A9" s="61"/>
      <c r="B9" s="62"/>
      <c r="C9" s="63"/>
      <c r="D9" s="63"/>
      <c r="E9" s="64"/>
      <c r="F9" s="65"/>
      <c r="G9" s="65"/>
      <c r="H9" s="65"/>
      <c r="I9" s="65"/>
      <c r="J9" s="65"/>
      <c r="K9" s="65"/>
      <c r="L9" s="65"/>
      <c r="M9" s="61"/>
      <c r="N9" s="61"/>
      <c r="O9" s="67"/>
      <c r="P9" s="67"/>
      <c r="Q9" s="67"/>
      <c r="R9" s="67"/>
      <c r="S9" s="67"/>
      <c r="T9" s="67"/>
    </row>
    <row r="10" spans="1:24" x14ac:dyDescent="0.2">
      <c r="A10" s="61"/>
      <c r="B10" s="62"/>
      <c r="C10" s="63"/>
      <c r="D10" s="63"/>
      <c r="E10" s="64"/>
      <c r="F10" s="65"/>
      <c r="G10" s="65"/>
      <c r="H10" s="65"/>
      <c r="I10" s="65"/>
      <c r="J10" s="65"/>
      <c r="K10" s="65"/>
      <c r="L10" s="65"/>
      <c r="M10" s="61"/>
      <c r="N10" s="61"/>
      <c r="O10" s="67"/>
      <c r="P10" s="67"/>
      <c r="Q10" s="67"/>
      <c r="R10" s="67"/>
      <c r="S10" s="67"/>
      <c r="T10" s="67"/>
    </row>
    <row r="11" spans="1:24" x14ac:dyDescent="0.2">
      <c r="A11" s="67"/>
      <c r="B11" s="68"/>
      <c r="C11" s="69"/>
      <c r="D11" s="69"/>
      <c r="E11" s="70"/>
      <c r="F11" s="66"/>
      <c r="G11" s="66"/>
      <c r="H11" s="66"/>
      <c r="I11" s="66"/>
      <c r="J11" s="66"/>
      <c r="K11" s="66"/>
      <c r="L11" s="66"/>
      <c r="M11" s="67"/>
      <c r="N11" s="67"/>
      <c r="O11" s="67"/>
      <c r="P11" s="67"/>
      <c r="Q11" s="67"/>
      <c r="R11" s="67"/>
      <c r="S11" s="67"/>
      <c r="T11" s="67"/>
    </row>
    <row r="12" spans="1:24" x14ac:dyDescent="0.2">
      <c r="A12" s="71"/>
      <c r="B12" s="72"/>
      <c r="C12" s="73"/>
      <c r="D12" s="73"/>
      <c r="E12" s="74"/>
      <c r="F12" s="75"/>
      <c r="G12" s="75"/>
      <c r="H12" s="75"/>
      <c r="I12" s="75"/>
      <c r="J12" s="75"/>
      <c r="K12" s="75"/>
      <c r="L12" s="75"/>
      <c r="M12" s="71"/>
      <c r="N12" s="71"/>
      <c r="O12" s="71"/>
      <c r="P12" s="71"/>
      <c r="Q12" s="71"/>
      <c r="R12" s="71"/>
      <c r="S12" s="71"/>
      <c r="T12" s="71"/>
    </row>
    <row r="13" spans="1:24" x14ac:dyDescent="0.2">
      <c r="A13" s="71"/>
      <c r="B13" s="72"/>
      <c r="C13" s="73"/>
      <c r="D13" s="73"/>
      <c r="E13" s="74"/>
      <c r="F13" s="75"/>
      <c r="G13" s="75"/>
      <c r="H13" s="75"/>
      <c r="I13" s="75"/>
      <c r="J13" s="75"/>
      <c r="K13" s="75"/>
      <c r="L13" s="75"/>
      <c r="M13" s="71"/>
      <c r="N13" s="71"/>
      <c r="O13" s="71"/>
      <c r="P13" s="71"/>
      <c r="Q13" s="71"/>
      <c r="R13" s="71"/>
      <c r="S13" s="71"/>
      <c r="T13" s="71"/>
    </row>
    <row r="14" spans="1:24" x14ac:dyDescent="0.2">
      <c r="A14" s="71"/>
      <c r="B14" s="72"/>
      <c r="C14" s="73"/>
      <c r="D14" s="73"/>
      <c r="E14" s="74"/>
      <c r="F14" s="75"/>
      <c r="G14" s="75"/>
      <c r="H14" s="75"/>
      <c r="I14" s="75"/>
      <c r="J14" s="75"/>
      <c r="K14" s="75"/>
      <c r="L14" s="75"/>
      <c r="M14" s="71"/>
      <c r="N14" s="71"/>
      <c r="O14" s="71"/>
      <c r="P14" s="71"/>
      <c r="Q14" s="71"/>
      <c r="R14" s="71"/>
      <c r="S14" s="71"/>
      <c r="T14" s="71"/>
    </row>
    <row r="15" spans="1:24" x14ac:dyDescent="0.2">
      <c r="A15" s="71"/>
      <c r="B15" s="72"/>
      <c r="C15" s="73"/>
      <c r="D15" s="73"/>
      <c r="E15" s="74"/>
      <c r="F15" s="75"/>
      <c r="G15" s="75"/>
      <c r="H15" s="75"/>
      <c r="I15" s="75"/>
      <c r="J15" s="75"/>
      <c r="K15" s="75"/>
      <c r="L15" s="75"/>
      <c r="M15" s="71"/>
      <c r="N15" s="71"/>
      <c r="O15" s="71"/>
      <c r="P15" s="71"/>
      <c r="Q15" s="71"/>
      <c r="R15" s="71"/>
      <c r="S15" s="71"/>
      <c r="T15" s="71"/>
    </row>
    <row r="16" spans="1:24" x14ac:dyDescent="0.2">
      <c r="A16" s="71"/>
      <c r="B16" s="72"/>
      <c r="C16" s="73"/>
      <c r="D16" s="73"/>
      <c r="E16" s="74"/>
      <c r="F16" s="75"/>
      <c r="G16" s="75"/>
      <c r="H16" s="75"/>
      <c r="I16" s="75"/>
      <c r="J16" s="75"/>
      <c r="K16" s="75"/>
      <c r="L16" s="75"/>
      <c r="M16" s="71"/>
      <c r="N16" s="71"/>
      <c r="O16" s="71"/>
      <c r="P16" s="71"/>
      <c r="Q16" s="71"/>
      <c r="R16" s="71"/>
      <c r="S16" s="71"/>
      <c r="T16" s="71"/>
    </row>
    <row r="17" spans="1:20" x14ac:dyDescent="0.2">
      <c r="A17" s="71"/>
      <c r="B17" s="72"/>
      <c r="C17" s="73"/>
      <c r="D17" s="73"/>
      <c r="E17" s="74"/>
      <c r="F17" s="75"/>
      <c r="G17" s="75"/>
      <c r="H17" s="75"/>
      <c r="I17" s="75"/>
      <c r="J17" s="75"/>
      <c r="K17" s="75"/>
      <c r="L17" s="75"/>
      <c r="M17" s="71"/>
      <c r="N17" s="71"/>
      <c r="O17" s="71"/>
      <c r="P17" s="71"/>
      <c r="Q17" s="71"/>
      <c r="R17" s="71"/>
      <c r="S17" s="71"/>
      <c r="T17" s="71"/>
    </row>
    <row r="18" spans="1:20" x14ac:dyDescent="0.2">
      <c r="A18" s="71"/>
      <c r="B18" s="72"/>
      <c r="C18" s="73"/>
      <c r="D18" s="73"/>
      <c r="E18" s="74"/>
      <c r="F18" s="75"/>
      <c r="G18" s="75"/>
      <c r="H18" s="75"/>
      <c r="I18" s="75"/>
      <c r="J18" s="75"/>
      <c r="K18" s="75"/>
      <c r="L18" s="75"/>
      <c r="M18" s="71"/>
      <c r="N18" s="71"/>
      <c r="O18" s="71"/>
      <c r="P18" s="71"/>
      <c r="Q18" s="71"/>
      <c r="R18" s="71"/>
      <c r="S18" s="71"/>
      <c r="T18" s="71"/>
    </row>
    <row r="19" spans="1:20" x14ac:dyDescent="0.2">
      <c r="A19" s="71"/>
      <c r="B19" s="72"/>
      <c r="C19" s="73"/>
      <c r="D19" s="73"/>
      <c r="E19" s="74"/>
      <c r="F19" s="75"/>
      <c r="G19" s="75"/>
      <c r="H19" s="75"/>
      <c r="I19" s="75"/>
      <c r="J19" s="75"/>
      <c r="K19" s="75"/>
      <c r="L19" s="75"/>
      <c r="M19" s="71"/>
      <c r="N19" s="71"/>
      <c r="O19" s="71"/>
      <c r="P19" s="71"/>
      <c r="Q19" s="71"/>
      <c r="R19" s="71"/>
      <c r="S19" s="71"/>
      <c r="T19" s="71"/>
    </row>
    <row r="20" spans="1:20" x14ac:dyDescent="0.2">
      <c r="A20" s="71"/>
      <c r="B20" s="72"/>
      <c r="C20" s="73"/>
      <c r="D20" s="73"/>
      <c r="E20" s="74"/>
      <c r="F20" s="75"/>
      <c r="G20" s="75"/>
      <c r="H20" s="75"/>
      <c r="I20" s="75"/>
      <c r="J20" s="75"/>
      <c r="K20" s="75"/>
      <c r="L20" s="75"/>
      <c r="M20" s="71"/>
      <c r="N20" s="71"/>
      <c r="O20" s="71"/>
      <c r="P20" s="71"/>
      <c r="Q20" s="71"/>
      <c r="R20" s="71"/>
      <c r="S20" s="71"/>
      <c r="T20" s="71"/>
    </row>
    <row r="21" spans="1:20" x14ac:dyDescent="0.2">
      <c r="A21" s="71"/>
      <c r="B21" s="72"/>
      <c r="C21" s="73"/>
      <c r="D21" s="73"/>
      <c r="E21" s="74"/>
      <c r="F21" s="75"/>
      <c r="G21" s="75"/>
      <c r="H21" s="75"/>
      <c r="I21" s="75"/>
      <c r="J21" s="75"/>
      <c r="K21" s="75"/>
      <c r="L21" s="75"/>
      <c r="M21" s="71"/>
      <c r="N21" s="71"/>
      <c r="O21" s="71"/>
      <c r="P21" s="71"/>
      <c r="Q21" s="71"/>
      <c r="R21" s="71"/>
      <c r="S21" s="71"/>
      <c r="T21" s="71"/>
    </row>
    <row r="22" spans="1:20" x14ac:dyDescent="0.2">
      <c r="A22" s="76"/>
      <c r="B22" s="77"/>
      <c r="C22" s="78"/>
      <c r="D22" s="78"/>
      <c r="E22" s="79"/>
      <c r="F22" s="80"/>
      <c r="G22" s="80"/>
      <c r="H22" s="80"/>
      <c r="I22" s="80"/>
      <c r="J22" s="80"/>
      <c r="K22" s="80"/>
      <c r="L22" s="80"/>
      <c r="M22" s="76"/>
      <c r="N22" s="76"/>
      <c r="O22" s="76"/>
      <c r="P22" s="76"/>
      <c r="Q22" s="76"/>
      <c r="R22" s="76"/>
      <c r="S22" s="76"/>
      <c r="T22" s="76"/>
    </row>
    <row r="23" spans="1:20" x14ac:dyDescent="0.2">
      <c r="A23" s="76"/>
      <c r="B23" s="77"/>
      <c r="C23" s="78"/>
      <c r="D23" s="78"/>
      <c r="E23" s="79"/>
      <c r="F23" s="80"/>
      <c r="G23" s="80"/>
      <c r="H23" s="80"/>
      <c r="I23" s="80"/>
      <c r="J23" s="80"/>
      <c r="K23" s="80"/>
      <c r="L23" s="80"/>
      <c r="M23" s="76"/>
      <c r="N23" s="76"/>
      <c r="O23" s="76"/>
      <c r="P23" s="76"/>
      <c r="Q23" s="76"/>
      <c r="R23" s="76"/>
      <c r="S23" s="76"/>
      <c r="T23" s="76"/>
    </row>
    <row r="24" spans="1:20" x14ac:dyDescent="0.2">
      <c r="A24" s="76"/>
      <c r="B24" s="77"/>
      <c r="C24" s="78"/>
      <c r="D24" s="78"/>
      <c r="E24" s="79"/>
      <c r="F24" s="80"/>
      <c r="G24" s="80"/>
      <c r="H24" s="80"/>
      <c r="I24" s="80"/>
      <c r="J24" s="80"/>
      <c r="K24" s="80"/>
      <c r="L24" s="80"/>
      <c r="M24" s="76"/>
      <c r="N24" s="76"/>
      <c r="O24" s="76"/>
      <c r="P24" s="76"/>
      <c r="Q24" s="76"/>
      <c r="R24" s="76"/>
      <c r="S24" s="76"/>
      <c r="T24" s="76"/>
    </row>
    <row r="25" spans="1:20" x14ac:dyDescent="0.2">
      <c r="A25" s="76"/>
      <c r="B25" s="77"/>
      <c r="C25" s="78"/>
      <c r="D25" s="78"/>
      <c r="E25" s="79"/>
      <c r="F25" s="80"/>
      <c r="G25" s="80"/>
      <c r="H25" s="80"/>
      <c r="I25" s="80"/>
      <c r="J25" s="80"/>
      <c r="K25" s="80"/>
      <c r="L25" s="80"/>
      <c r="M25" s="76"/>
      <c r="N25" s="76"/>
      <c r="O25" s="76"/>
      <c r="P25" s="76"/>
      <c r="Q25" s="76"/>
      <c r="R25" s="76"/>
      <c r="S25" s="76"/>
      <c r="T25" s="76"/>
    </row>
    <row r="26" spans="1:20" x14ac:dyDescent="0.2">
      <c r="A26" s="76"/>
      <c r="B26" s="77"/>
      <c r="C26" s="78"/>
      <c r="D26" s="78"/>
      <c r="E26" s="79"/>
      <c r="F26" s="80"/>
      <c r="G26" s="80"/>
      <c r="H26" s="80"/>
      <c r="I26" s="80"/>
      <c r="J26" s="80"/>
      <c r="K26" s="80"/>
      <c r="L26" s="80"/>
      <c r="M26" s="76"/>
      <c r="N26" s="76"/>
      <c r="O26" s="76"/>
      <c r="P26" s="76"/>
      <c r="Q26" s="76"/>
      <c r="R26" s="76"/>
      <c r="S26" s="76"/>
      <c r="T26" s="76"/>
    </row>
    <row r="27" spans="1:20" x14ac:dyDescent="0.2">
      <c r="A27" s="76"/>
      <c r="B27" s="77"/>
      <c r="C27" s="78"/>
      <c r="D27" s="78"/>
      <c r="E27" s="79"/>
      <c r="F27" s="80"/>
      <c r="G27" s="80"/>
      <c r="H27" s="80"/>
      <c r="I27" s="80"/>
      <c r="J27" s="80"/>
      <c r="K27" s="80"/>
      <c r="L27" s="80"/>
      <c r="M27" s="76"/>
      <c r="N27" s="76"/>
      <c r="O27" s="76"/>
      <c r="P27" s="76"/>
      <c r="Q27" s="76"/>
      <c r="R27" s="76"/>
      <c r="S27" s="76"/>
      <c r="T27" s="76"/>
    </row>
    <row r="28" spans="1:20" x14ac:dyDescent="0.2">
      <c r="A28" s="76"/>
      <c r="B28" s="77"/>
      <c r="C28" s="78"/>
      <c r="D28" s="78"/>
      <c r="E28" s="79"/>
      <c r="F28" s="80"/>
      <c r="G28" s="80"/>
      <c r="H28" s="80"/>
      <c r="I28" s="80"/>
      <c r="J28" s="80"/>
      <c r="K28" s="80"/>
      <c r="L28" s="80"/>
      <c r="M28" s="76"/>
      <c r="N28" s="76"/>
      <c r="O28" s="76"/>
      <c r="P28" s="76"/>
      <c r="Q28" s="76"/>
      <c r="R28" s="76"/>
      <c r="S28" s="76"/>
      <c r="T28" s="76"/>
    </row>
    <row r="29" spans="1:20" x14ac:dyDescent="0.2">
      <c r="A29" s="76"/>
      <c r="B29" s="77"/>
      <c r="C29" s="78"/>
      <c r="D29" s="78"/>
      <c r="E29" s="79"/>
      <c r="F29" s="80"/>
      <c r="G29" s="80"/>
      <c r="H29" s="80"/>
      <c r="I29" s="80"/>
      <c r="J29" s="80"/>
      <c r="K29" s="80"/>
      <c r="L29" s="80"/>
      <c r="M29" s="76"/>
      <c r="N29" s="76"/>
      <c r="O29" s="76"/>
      <c r="P29" s="76"/>
      <c r="Q29" s="76"/>
      <c r="R29" s="76"/>
      <c r="S29" s="76"/>
      <c r="T29" s="76"/>
    </row>
    <row r="30" spans="1:20" x14ac:dyDescent="0.2">
      <c r="A30" s="76"/>
      <c r="B30" s="77"/>
      <c r="C30" s="78"/>
      <c r="D30" s="78"/>
      <c r="E30" s="79"/>
      <c r="F30" s="80"/>
      <c r="G30" s="80"/>
      <c r="H30" s="80"/>
      <c r="I30" s="80"/>
      <c r="J30" s="80"/>
      <c r="K30" s="80"/>
      <c r="L30" s="80"/>
      <c r="M30" s="76"/>
      <c r="N30" s="76"/>
      <c r="O30" s="76"/>
      <c r="P30" s="76"/>
      <c r="Q30" s="76"/>
      <c r="R30" s="76"/>
      <c r="S30" s="76"/>
      <c r="T30" s="76"/>
    </row>
    <row r="31" spans="1:20" x14ac:dyDescent="0.2">
      <c r="A31" s="76"/>
      <c r="B31" s="77"/>
      <c r="C31" s="78"/>
      <c r="D31" s="78"/>
      <c r="E31" s="79"/>
      <c r="F31" s="80"/>
      <c r="G31" s="80"/>
      <c r="H31" s="80"/>
      <c r="I31" s="80"/>
      <c r="J31" s="80"/>
      <c r="K31" s="80"/>
      <c r="L31" s="80"/>
      <c r="M31" s="76"/>
      <c r="N31" s="76"/>
      <c r="O31" s="76"/>
      <c r="P31" s="76"/>
      <c r="Q31" s="76"/>
      <c r="R31" s="76"/>
      <c r="S31" s="76"/>
      <c r="T31" s="76"/>
    </row>
    <row r="32" spans="1:20" x14ac:dyDescent="0.2">
      <c r="B32" s="24"/>
    </row>
    <row r="33" spans="2:2" x14ac:dyDescent="0.2">
      <c r="B33" s="24"/>
    </row>
    <row r="34" spans="2:2" x14ac:dyDescent="0.2">
      <c r="B34" s="24"/>
    </row>
    <row r="35" spans="2:2" x14ac:dyDescent="0.2">
      <c r="B35" s="24"/>
    </row>
    <row r="36" spans="2:2" x14ac:dyDescent="0.2">
      <c r="B36" s="24"/>
    </row>
    <row r="37" spans="2:2" x14ac:dyDescent="0.2">
      <c r="B37" s="24"/>
    </row>
    <row r="38" spans="2:2" x14ac:dyDescent="0.2">
      <c r="B38" s="24"/>
    </row>
    <row r="39" spans="2:2" x14ac:dyDescent="0.2">
      <c r="B39" s="24"/>
    </row>
    <row r="40" spans="2:2" x14ac:dyDescent="0.2">
      <c r="B40" s="24"/>
    </row>
    <row r="41" spans="2:2" x14ac:dyDescent="0.2">
      <c r="B41" s="24"/>
    </row>
    <row r="42" spans="2:2" x14ac:dyDescent="0.2">
      <c r="B42" s="24"/>
    </row>
    <row r="43" spans="2:2" x14ac:dyDescent="0.2">
      <c r="B43" s="24"/>
    </row>
    <row r="44" spans="2:2" x14ac:dyDescent="0.2">
      <c r="B44" s="24"/>
    </row>
    <row r="45" spans="2:2" x14ac:dyDescent="0.2">
      <c r="B45" s="24"/>
    </row>
    <row r="46" spans="2:2" x14ac:dyDescent="0.2">
      <c r="B46" s="24"/>
    </row>
    <row r="47" spans="2:2" x14ac:dyDescent="0.2">
      <c r="B47" s="24"/>
    </row>
    <row r="48" spans="2:2" x14ac:dyDescent="0.2">
      <c r="B48" s="24"/>
    </row>
    <row r="49" spans="2:2" x14ac:dyDescent="0.2">
      <c r="B49" s="24"/>
    </row>
    <row r="50" spans="2:2" x14ac:dyDescent="0.2">
      <c r="B50" s="24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1"/>
  <sheetViews>
    <sheetView showRowColHeaders="0" workbookViewId="0">
      <selection activeCell="E34" sqref="E34"/>
    </sheetView>
  </sheetViews>
  <sheetFormatPr defaultRowHeight="14.25" x14ac:dyDescent="0.2"/>
  <cols>
    <col min="1" max="1" width="10.25" customWidth="1"/>
  </cols>
  <sheetData>
    <row r="1" spans="1:3" x14ac:dyDescent="0.2">
      <c r="A1" s="1" t="s">
        <v>15</v>
      </c>
      <c r="B1" s="1" t="s">
        <v>16</v>
      </c>
      <c r="C1" s="1" t="s">
        <v>17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05703-585E-46F6-A821-1DAC9F1D3610}">
  <sheetPr codeName="Sheet1"/>
  <dimension ref="A2:D25"/>
  <sheetViews>
    <sheetView workbookViewId="0">
      <selection activeCell="B2" sqref="B2"/>
    </sheetView>
  </sheetViews>
  <sheetFormatPr defaultRowHeight="14.25" x14ac:dyDescent="0.2"/>
  <cols>
    <col min="1" max="1" width="20.75" customWidth="1"/>
    <col min="2" max="2" width="14.25" style="55" customWidth="1"/>
    <col min="3" max="3" width="14.25" customWidth="1"/>
    <col min="4" max="4" width="65.25" customWidth="1"/>
  </cols>
  <sheetData>
    <row r="2" spans="1:4" x14ac:dyDescent="0.2">
      <c r="A2" t="s">
        <v>41</v>
      </c>
      <c r="B2" s="60" t="s">
        <v>51</v>
      </c>
    </row>
    <row r="5" spans="1:4" x14ac:dyDescent="0.2">
      <c r="A5" s="56" t="s">
        <v>43</v>
      </c>
      <c r="B5" s="57" t="s">
        <v>47</v>
      </c>
      <c r="C5" s="56" t="s">
        <v>44</v>
      </c>
      <c r="D5" s="56" t="s">
        <v>48</v>
      </c>
    </row>
    <row r="6" spans="1:4" x14ac:dyDescent="0.2">
      <c r="A6" t="s">
        <v>45</v>
      </c>
      <c r="B6" s="55" t="s">
        <v>46</v>
      </c>
      <c r="C6" s="58">
        <v>46008</v>
      </c>
      <c r="D6" s="59" t="s">
        <v>49</v>
      </c>
    </row>
    <row r="7" spans="1:4" x14ac:dyDescent="0.2">
      <c r="C7" s="58"/>
    </row>
    <row r="8" spans="1:4" x14ac:dyDescent="0.2">
      <c r="C8" s="58"/>
    </row>
    <row r="9" spans="1:4" x14ac:dyDescent="0.2">
      <c r="C9" s="58"/>
    </row>
    <row r="10" spans="1:4" x14ac:dyDescent="0.2">
      <c r="C10" s="58"/>
    </row>
    <row r="11" spans="1:4" x14ac:dyDescent="0.2">
      <c r="C11" s="58"/>
    </row>
    <row r="12" spans="1:4" x14ac:dyDescent="0.2">
      <c r="C12" s="58"/>
    </row>
    <row r="13" spans="1:4" x14ac:dyDescent="0.2">
      <c r="C13" s="58"/>
    </row>
    <row r="14" spans="1:4" x14ac:dyDescent="0.2">
      <c r="C14" s="58"/>
    </row>
    <row r="15" spans="1:4" x14ac:dyDescent="0.2">
      <c r="C15" s="58"/>
    </row>
    <row r="16" spans="1:4" x14ac:dyDescent="0.2">
      <c r="C16" s="58"/>
    </row>
    <row r="17" spans="3:3" x14ac:dyDescent="0.2">
      <c r="C17" s="58"/>
    </row>
    <row r="18" spans="3:3" x14ac:dyDescent="0.2">
      <c r="C18" s="58"/>
    </row>
    <row r="19" spans="3:3" x14ac:dyDescent="0.2">
      <c r="C19" s="58"/>
    </row>
    <row r="20" spans="3:3" x14ac:dyDescent="0.2">
      <c r="C20" s="58"/>
    </row>
    <row r="21" spans="3:3" x14ac:dyDescent="0.2">
      <c r="C21" s="58"/>
    </row>
    <row r="22" spans="3:3" x14ac:dyDescent="0.2">
      <c r="C22" s="58"/>
    </row>
    <row r="23" spans="3:3" x14ac:dyDescent="0.2">
      <c r="C23" s="58"/>
    </row>
    <row r="24" spans="3:3" x14ac:dyDescent="0.2">
      <c r="C24" s="58"/>
    </row>
    <row r="25" spans="3:3" x14ac:dyDescent="0.2">
      <c r="C25" s="58"/>
    </row>
  </sheetData>
  <sheetProtection algorithmName="SHA-512" hashValue="7uFo6Q6DraXnSjplby7497is9v1OFPj+hLZ3tTbbds4HDpUdM5zfYFuewhUL0Y/9FTYzMzXOXCHQTI92tgVGcQ==" saltValue="SXhWuhXErycK+TLoeoZfbg==" spinCount="100000" sheet="1" objects="1" scenarios="1" selectLockedCell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Airgauge</vt:lpstr>
      <vt:lpstr>HistoryData</vt:lpstr>
      <vt:lpstr>tmp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Palakorn Pornpetrumpa</dc:creator>
  <cp:lastModifiedBy>HP</cp:lastModifiedBy>
  <dcterms:created xsi:type="dcterms:W3CDTF">2025-05-16T07:25:08Z</dcterms:created>
  <dcterms:modified xsi:type="dcterms:W3CDTF">2025-12-18T06:39:26Z</dcterms:modified>
</cp:coreProperties>
</file>